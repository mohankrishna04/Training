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9D05F9EC-644C-432A-B7E4-026710A323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" sheetId="1" r:id="rId3"/>
  </sheets>
  <definedNames>
    <definedName name="_xlchart.v1.0" hidden="1">Sheet!$D$1</definedName>
    <definedName name="_xlchart.v1.1" hidden="1">Sheet!$D$2:$D$21</definedName>
    <definedName name="_xlchart.v1.2" hidden="1">Sheet!$D$1</definedName>
    <definedName name="_xlchart.v1.3" hidden="1">Sheet!$D$2:$D$21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<sst xmlns="http://schemas.openxmlformats.org/spreadsheetml/2006/main" count="78" uniqueCount="64">
  <si>
    <t>Student_ID</t>
  </si>
  <si>
    <t>Student_Name</t>
  </si>
  <si>
    <t>Marks</t>
  </si>
  <si>
    <t>Study_Hours_Per_Day</t>
  </si>
  <si>
    <t>MEAN</t>
  </si>
  <si>
    <t>MEDIAN</t>
  </si>
  <si>
    <t>MODE</t>
  </si>
  <si>
    <t>RANGE</t>
  </si>
  <si>
    <t>VARIANCE</t>
  </si>
  <si>
    <t>Standard Deviation</t>
  </si>
  <si>
    <t>CORRELATION</t>
  </si>
  <si>
    <t>Arjun</t>
  </si>
  <si>
    <t>Nikhil</t>
  </si>
  <si>
    <t>Ananya</t>
  </si>
  <si>
    <t>Rohit</t>
  </si>
  <si>
    <t>Sneha</t>
  </si>
  <si>
    <t>Priya</t>
  </si>
  <si>
    <t>Vikram</t>
  </si>
  <si>
    <t>Divya</t>
  </si>
  <si>
    <t>Rahul</t>
  </si>
  <si>
    <t>Mean</t>
  </si>
  <si>
    <t>Standard Error</t>
  </si>
  <si>
    <t>Median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</si>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</sst>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Sheet!$D$2:$D$21</c:f>
              <c:numCache>
                <c:formatCode>General</c:formatCode>
                <c:ptCount val="20"/>
                <c:pt idx="0">
                  <c:v>7.9</c:v>
                </c:pt>
                <c:pt idx="1">
                  <c:v>6.3</c:v>
                </c:pt>
                <c:pt idx="2">
                  <c:v>1.4</c:v>
                </c:pt>
                <c:pt idx="3">
                  <c:v>3.8</c:v>
                </c:pt>
                <c:pt idx="4">
                  <c:v>2.4</c:v>
                </c:pt>
                <c:pt idx="5">
                  <c:v>3.3</c:v>
                </c:pt>
                <c:pt idx="6">
                  <c:v>6.7</c:v>
                </c:pt>
                <c:pt idx="7">
                  <c:v>4</c:v>
                </c:pt>
                <c:pt idx="8">
                  <c:v>2.7</c:v>
                </c:pt>
                <c:pt idx="9">
                  <c:v>1.8</c:v>
                </c:pt>
                <c:pt idx="10">
                  <c:v>6.5</c:v>
                </c:pt>
                <c:pt idx="11">
                  <c:v>8</c:v>
                </c:pt>
                <c:pt idx="12">
                  <c:v>7.4</c:v>
                </c:pt>
                <c:pt idx="13">
                  <c:v>2.8</c:v>
                </c:pt>
                <c:pt idx="14">
                  <c:v>3</c:v>
                </c:pt>
                <c:pt idx="15">
                  <c:v>4.7</c:v>
                </c:pt>
                <c:pt idx="16">
                  <c:v>2</c:v>
                </c:pt>
                <c:pt idx="17">
                  <c:v>7.8</c:v>
                </c:pt>
                <c:pt idx="18">
                  <c:v>5.8</c:v>
                </c:pt>
                <c:pt idx="19">
                  <c:v>4.7</c:v>
                </c:pt>
              </c:numCache>
            </c:numRef>
          </c:xVal>
          <c:yVal>
            <c:numRef>
              <c:f>Sheet2!$C$25:$C$44</c:f>
              <c:numCache>
                <c:formatCode>General</c:formatCode>
                <c:ptCount val="20"/>
                <c:pt idx="0">
                  <c:v>12.656599387086544</c:v>
                </c:pt>
                <c:pt idx="1">
                  <c:v>-8.0112649265560663</c:v>
                </c:pt>
                <c:pt idx="2">
                  <c:v>7.943400612913436</c:v>
                </c:pt>
                <c:pt idx="3">
                  <c:v>-15.054802916622648</c:v>
                </c:pt>
                <c:pt idx="4">
                  <c:v>-26.639184191059925</c:v>
                </c:pt>
                <c:pt idx="5">
                  <c:v>22.736489485364046</c:v>
                </c:pt>
                <c:pt idx="6">
                  <c:v>16.155701151854586</c:v>
                </c:pt>
                <c:pt idx="7">
                  <c:v>18.028680122582685</c:v>
                </c:pt>
                <c:pt idx="8">
                  <c:v>-5.5139596322519395</c:v>
                </c:pt>
                <c:pt idx="9">
                  <c:v>9.1103666913240886</c:v>
                </c:pt>
                <c:pt idx="10">
                  <c:v>-11.927781887350747</c:v>
                </c:pt>
                <c:pt idx="11">
                  <c:v>-4.3016590933108034</c:v>
                </c:pt>
                <c:pt idx="12">
                  <c:v>-6.5521082109267752</c:v>
                </c:pt>
                <c:pt idx="13">
                  <c:v>-8.4722181126492728</c:v>
                </c:pt>
                <c:pt idx="14">
                  <c:v>-18.388735073443954</c:v>
                </c:pt>
                <c:pt idx="15">
                  <c:v>-22.679129240198677</c:v>
                </c:pt>
                <c:pt idx="16">
                  <c:v>20.193849730529422</c:v>
                </c:pt>
                <c:pt idx="17">
                  <c:v>-0.38514213251612262</c:v>
                </c:pt>
                <c:pt idx="18">
                  <c:v>11.780027475430614</c:v>
                </c:pt>
                <c:pt idx="19">
                  <c:v>9.3208707598013234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43-4E14-95E2-9B1AD13E1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649888"/>
        <c:axId val="637650368"/>
      </c:scatterChart>
      <c:valAx>
        <c:axId val="63764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7650368"/>
        <c:crosses val="autoZero"/>
        <c:crossBetween val="midCat"/>
      </c:valAx>
      <c:valAx>
        <c:axId val="637650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76498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Sheet!$D$2:$D$21</c:f>
              <c:numCache>
                <c:formatCode>General</c:formatCode>
                <c:ptCount val="20"/>
                <c:pt idx="0">
                  <c:v>7.9</c:v>
                </c:pt>
                <c:pt idx="1">
                  <c:v>6.3</c:v>
                </c:pt>
                <c:pt idx="2">
                  <c:v>1.4</c:v>
                </c:pt>
                <c:pt idx="3">
                  <c:v>3.8</c:v>
                </c:pt>
                <c:pt idx="4">
                  <c:v>2.4</c:v>
                </c:pt>
                <c:pt idx="5">
                  <c:v>3.3</c:v>
                </c:pt>
                <c:pt idx="6">
                  <c:v>6.7</c:v>
                </c:pt>
                <c:pt idx="7">
                  <c:v>4</c:v>
                </c:pt>
                <c:pt idx="8">
                  <c:v>2.7</c:v>
                </c:pt>
                <c:pt idx="9">
                  <c:v>1.8</c:v>
                </c:pt>
                <c:pt idx="10">
                  <c:v>6.5</c:v>
                </c:pt>
                <c:pt idx="11">
                  <c:v>8</c:v>
                </c:pt>
                <c:pt idx="12">
                  <c:v>7.4</c:v>
                </c:pt>
                <c:pt idx="13">
                  <c:v>2.8</c:v>
                </c:pt>
                <c:pt idx="14">
                  <c:v>3</c:v>
                </c:pt>
                <c:pt idx="15">
                  <c:v>4.7</c:v>
                </c:pt>
                <c:pt idx="16">
                  <c:v>2</c:v>
                </c:pt>
                <c:pt idx="17">
                  <c:v>7.8</c:v>
                </c:pt>
                <c:pt idx="18">
                  <c:v>5.8</c:v>
                </c:pt>
                <c:pt idx="19">
                  <c:v>4.7</c:v>
                </c:pt>
              </c:numCache>
            </c:numRef>
          </c:xVal>
          <c:yVal>
            <c:numRef>
              <c:f>Sheet!$C$2:$C$21</c:f>
              <c:numCache>
                <c:formatCode>General</c:formatCode>
                <c:ptCount val="20"/>
                <c:pt idx="0">
                  <c:v>88</c:v>
                </c:pt>
                <c:pt idx="1">
                  <c:v>68</c:v>
                </c:pt>
                <c:pt idx="2">
                  <c:v>86</c:v>
                </c:pt>
                <c:pt idx="3">
                  <c:v>62</c:v>
                </c:pt>
                <c:pt idx="4">
                  <c:v>51</c:v>
                </c:pt>
                <c:pt idx="5">
                  <c:v>100</c:v>
                </c:pt>
                <c:pt idx="6">
                  <c:v>92</c:v>
                </c:pt>
                <c:pt idx="7">
                  <c:v>95</c:v>
                </c:pt>
                <c:pt idx="8">
                  <c:v>72</c:v>
                </c:pt>
                <c:pt idx="9">
                  <c:v>87</c:v>
                </c:pt>
                <c:pt idx="10">
                  <c:v>64</c:v>
                </c:pt>
                <c:pt idx="11">
                  <c:v>71</c:v>
                </c:pt>
                <c:pt idx="12">
                  <c:v>69</c:v>
                </c:pt>
                <c:pt idx="13">
                  <c:v>69</c:v>
                </c:pt>
                <c:pt idx="14">
                  <c:v>59</c:v>
                </c:pt>
                <c:pt idx="15">
                  <c:v>54</c:v>
                </c:pt>
                <c:pt idx="16">
                  <c:v>98</c:v>
                </c:pt>
                <c:pt idx="17">
                  <c:v>75</c:v>
                </c:pt>
                <c:pt idx="18">
                  <c:v>88</c:v>
                </c:pt>
                <c:pt idx="19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6-468F-9D4C-5CDA9688FB9A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Sheet!$D$2:$D$21</c:f>
              <c:numCache>
                <c:formatCode>General</c:formatCode>
                <c:ptCount val="20"/>
                <c:pt idx="0">
                  <c:v>7.9</c:v>
                </c:pt>
                <c:pt idx="1">
                  <c:v>6.3</c:v>
                </c:pt>
                <c:pt idx="2">
                  <c:v>1.4</c:v>
                </c:pt>
                <c:pt idx="3">
                  <c:v>3.8</c:v>
                </c:pt>
                <c:pt idx="4">
                  <c:v>2.4</c:v>
                </c:pt>
                <c:pt idx="5">
                  <c:v>3.3</c:v>
                </c:pt>
                <c:pt idx="6">
                  <c:v>6.7</c:v>
                </c:pt>
                <c:pt idx="7">
                  <c:v>4</c:v>
                </c:pt>
                <c:pt idx="8">
                  <c:v>2.7</c:v>
                </c:pt>
                <c:pt idx="9">
                  <c:v>1.8</c:v>
                </c:pt>
                <c:pt idx="10">
                  <c:v>6.5</c:v>
                </c:pt>
                <c:pt idx="11">
                  <c:v>8</c:v>
                </c:pt>
                <c:pt idx="12">
                  <c:v>7.4</c:v>
                </c:pt>
                <c:pt idx="13">
                  <c:v>2.8</c:v>
                </c:pt>
                <c:pt idx="14">
                  <c:v>3</c:v>
                </c:pt>
                <c:pt idx="15">
                  <c:v>4.7</c:v>
                </c:pt>
                <c:pt idx="16">
                  <c:v>2</c:v>
                </c:pt>
                <c:pt idx="17">
                  <c:v>7.8</c:v>
                </c:pt>
                <c:pt idx="18">
                  <c:v>5.8</c:v>
                </c:pt>
                <c:pt idx="19">
                  <c:v>4.7</c:v>
                </c:pt>
              </c:numCache>
            </c:numRef>
          </c:xVal>
          <c:yVal>
            <c:numRef>
              <c:f>Sheet2!$B$25:$B$44</c:f>
              <c:numCache>
                <c:formatCode>General</c:formatCode>
                <c:ptCount val="20"/>
                <c:pt idx="0">
                  <c:v>75.343400612913456</c:v>
                </c:pt>
                <c:pt idx="1">
                  <c:v>76.011264926556066</c:v>
                </c:pt>
                <c:pt idx="2">
                  <c:v>78.056599387086564</c:v>
                </c:pt>
                <c:pt idx="3">
                  <c:v>77.054802916622648</c:v>
                </c:pt>
                <c:pt idx="4">
                  <c:v>77.639184191059925</c:v>
                </c:pt>
                <c:pt idx="5">
                  <c:v>77.263510514635954</c:v>
                </c:pt>
                <c:pt idx="6">
                  <c:v>75.844298848145414</c:v>
                </c:pt>
                <c:pt idx="7">
                  <c:v>76.971319877417315</c:v>
                </c:pt>
                <c:pt idx="8">
                  <c:v>77.51395963225194</c:v>
                </c:pt>
                <c:pt idx="9">
                  <c:v>77.889633308675911</c:v>
                </c:pt>
                <c:pt idx="10">
                  <c:v>75.927781887350747</c:v>
                </c:pt>
                <c:pt idx="11">
                  <c:v>75.301659093310803</c:v>
                </c:pt>
                <c:pt idx="12">
                  <c:v>75.552108210926775</c:v>
                </c:pt>
                <c:pt idx="13">
                  <c:v>77.472218112649273</c:v>
                </c:pt>
                <c:pt idx="14">
                  <c:v>77.388735073443954</c:v>
                </c:pt>
                <c:pt idx="15">
                  <c:v>76.679129240198677</c:v>
                </c:pt>
                <c:pt idx="16">
                  <c:v>77.806150269470578</c:v>
                </c:pt>
                <c:pt idx="17">
                  <c:v>75.385142132516123</c:v>
                </c:pt>
                <c:pt idx="18">
                  <c:v>76.219972524569386</c:v>
                </c:pt>
                <c:pt idx="19">
                  <c:v>76.679129240198677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6-468F-9D4C-5CDA9688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53408"/>
        <c:axId val="637557248"/>
      </c:scatterChart>
      <c:valAx>
        <c:axId val="63755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7557248"/>
        <c:crosses val="autoZero"/>
        <c:crossBetween val="midCat"/>
      </c:valAx>
      <c:valAx>
        <c:axId val="637557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7553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Sheet!$C$2:$C$21</c:f>
              <c:numCache>
                <c:formatCode>General</c:formatCode>
                <c:ptCount val="20"/>
                <c:pt idx="0">
                  <c:v>88</c:v>
                </c:pt>
                <c:pt idx="1">
                  <c:v>68</c:v>
                </c:pt>
                <c:pt idx="2">
                  <c:v>86</c:v>
                </c:pt>
                <c:pt idx="3">
                  <c:v>62</c:v>
                </c:pt>
                <c:pt idx="4">
                  <c:v>51</c:v>
                </c:pt>
                <c:pt idx="5">
                  <c:v>100</c:v>
                </c:pt>
                <c:pt idx="6">
                  <c:v>92</c:v>
                </c:pt>
                <c:pt idx="7">
                  <c:v>95</c:v>
                </c:pt>
                <c:pt idx="8">
                  <c:v>72</c:v>
                </c:pt>
                <c:pt idx="9">
                  <c:v>87</c:v>
                </c:pt>
                <c:pt idx="10">
                  <c:v>64</c:v>
                </c:pt>
                <c:pt idx="11">
                  <c:v>71</c:v>
                </c:pt>
                <c:pt idx="12">
                  <c:v>69</c:v>
                </c:pt>
                <c:pt idx="13">
                  <c:v>69</c:v>
                </c:pt>
                <c:pt idx="14">
                  <c:v>59</c:v>
                </c:pt>
                <c:pt idx="15">
                  <c:v>54</c:v>
                </c:pt>
                <c:pt idx="16">
                  <c:v>98</c:v>
                </c:pt>
                <c:pt idx="17">
                  <c:v>75</c:v>
                </c:pt>
                <c:pt idx="18">
                  <c:v>88</c:v>
                </c:pt>
                <c:pt idx="1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9-4C4B-B0DD-3656B03D5F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7647968"/>
        <c:axId val="637651328"/>
      </c:barChart>
      <c:catAx>
        <c:axId val="637647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51328"/>
        <c:crosses val="autoZero"/>
        <c:auto val="1"/>
        <c:lblAlgn val="ctr"/>
        <c:lblOffset val="100"/>
        <c:noMultiLvlLbl val="0"/>
      </c:catAx>
      <c:valAx>
        <c:axId val="6376513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376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Sheet!$D$1</c:f>
              <c:strCache>
                <c:ptCount val="1"/>
                <c:pt idx="0">
                  <c:v>Study_Hours_Per_Day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Sheet!$D$2:$D$21</c:f>
              <c:numCache>
                <c:formatCode>General</c:formatCode>
                <c:ptCount val="20"/>
                <c:pt idx="0">
                  <c:v>7.9</c:v>
                </c:pt>
                <c:pt idx="1">
                  <c:v>6.3</c:v>
                </c:pt>
                <c:pt idx="2">
                  <c:v>1.4</c:v>
                </c:pt>
                <c:pt idx="3">
                  <c:v>3.8</c:v>
                </c:pt>
                <c:pt idx="4">
                  <c:v>2.4</c:v>
                </c:pt>
                <c:pt idx="5">
                  <c:v>3.3</c:v>
                </c:pt>
                <c:pt idx="6">
                  <c:v>6.7</c:v>
                </c:pt>
                <c:pt idx="7">
                  <c:v>4</c:v>
                </c:pt>
                <c:pt idx="8">
                  <c:v>2.7</c:v>
                </c:pt>
                <c:pt idx="9">
                  <c:v>1.8</c:v>
                </c:pt>
                <c:pt idx="10">
                  <c:v>6.5</c:v>
                </c:pt>
                <c:pt idx="11">
                  <c:v>8</c:v>
                </c:pt>
                <c:pt idx="12">
                  <c:v>7.4</c:v>
                </c:pt>
                <c:pt idx="13">
                  <c:v>2.8</c:v>
                </c:pt>
                <c:pt idx="14">
                  <c:v>3</c:v>
                </c:pt>
                <c:pt idx="15">
                  <c:v>4.7</c:v>
                </c:pt>
                <c:pt idx="16">
                  <c:v>2</c:v>
                </c:pt>
                <c:pt idx="17">
                  <c:v>7.8</c:v>
                </c:pt>
                <c:pt idx="18">
                  <c:v>5.8</c:v>
                </c:pt>
                <c:pt idx="19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F-45BA-ABB0-0B7453C1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_xlchart.v1.1</cx:f>
      </cx:numDim>
    </cx:data>
  </cx:chartData>
  <cx:chart>
    <cx:title pos="t" align="ctr" overlay="0"/>
    <cx:plotArea>
      <cx:plotAreaRegion>
        <cx:series layoutId="treemap" uniqueId="{7DE68373-6C47-4288-8821-BA24378FBFDB}">
          <cx:tx>
            <cx:txData>
              <cx:f>_xlchart.v1.0</cx:f>
              <cx:v>Study_Hours_Per_Day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3439D-E688-E056-46C9-D67B5031C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B7F244-2F5D-F554-6CFC-F3661A044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0</xdr:row>
      <xdr:rowOff>87630</xdr:rowOff>
    </xdr:from>
    <xdr:to>
      <xdr:col>19</xdr:col>
      <xdr:colOff>38100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8122D-1CA5-9B5A-BDD6-DCF6DACF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350520</xdr:colOff>
      <xdr:row>15</xdr:row>
      <xdr:rowOff>140970</xdr:rowOff>
    </xdr:from>
    <xdr:to>
      <xdr:col>19</xdr:col>
      <xdr:colOff>45720</xdr:colOff>
      <xdr:row>30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90E5045-DE43-CAE5-9690-20787BC0BA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61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434340</xdr:colOff>
      <xdr:row>1</xdr:row>
      <xdr:rowOff>133350</xdr:rowOff>
    </xdr:from>
    <xdr:to>
      <xdr:col>27</xdr:col>
      <xdr:colOff>129540</xdr:colOff>
      <xdr:row>16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3DCBE-4DF9-6FDC-D4AB-1BE09588D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95C9-D239-435D-AED4-548CB9467D0F}">
  <dimension ref="A1:B18"/>
  <sheetViews>
    <sheetView workbookViewId="0">
      <selection sqref="A1:B18"/>
    </sheetView>
  </sheetViews>
  <sheetFormatPr defaultRowHeight="14.4" x14ac:dyDescent="0.3"/>
  <sheetData>
    <row r="1" spans="1:2" x14ac:dyDescent="0.3">
      <c r="A1" s="4">
        <v>88</v>
      </c>
      <c r="B1" s="4"/>
    </row>
    <row r="2" spans="1:2" x14ac:dyDescent="0.3">
      <c r="A2" s="1"/>
      <c r="B2" s="1"/>
    </row>
    <row r="3" spans="1:2" x14ac:dyDescent="0.3">
      <c r="A3" s="1" t="s">
        <v>20</v>
      </c>
      <c r="B3" s="1">
        <v>76.10526315789474</v>
      </c>
    </row>
    <row r="4" spans="1:2" x14ac:dyDescent="0.3">
      <c r="A4" s="1" t="s">
        <v>21</v>
      </c>
      <c r="B4" s="1">
        <v>3.4555614440801783</v>
      </c>
    </row>
    <row r="5" spans="1:2" x14ac:dyDescent="0.3">
      <c r="A5" s="1" t="s">
        <v>22</v>
      </c>
      <c r="B5" s="1">
        <v>72</v>
      </c>
    </row>
    <row r="6" spans="1:2" x14ac:dyDescent="0.3">
      <c r="A6" s="1" t="s">
        <v>23</v>
      </c>
      <c r="B6" s="1">
        <v>86</v>
      </c>
    </row>
    <row r="7" spans="1:2" x14ac:dyDescent="0.3">
      <c r="A7" s="1" t="s">
        <v>9</v>
      </c>
      <c r="B7" s="1">
        <v>15.062443127940975</v>
      </c>
    </row>
    <row r="8" spans="1:2" x14ac:dyDescent="0.3">
      <c r="A8" s="1" t="s">
        <v>24</v>
      </c>
      <c r="B8" s="1">
        <v>226.87719298245631</v>
      </c>
    </row>
    <row r="9" spans="1:2" x14ac:dyDescent="0.3">
      <c r="A9" s="1" t="s">
        <v>25</v>
      </c>
      <c r="B9" s="1">
        <v>-1.1708733211030453</v>
      </c>
    </row>
    <row r="10" spans="1:2" x14ac:dyDescent="0.3">
      <c r="A10" s="1" t="s">
        <v>26</v>
      </c>
      <c r="B10" s="1">
        <v>3.9071232330453225E-2</v>
      </c>
    </row>
    <row r="11" spans="1:2" x14ac:dyDescent="0.3">
      <c r="A11" s="1" t="s">
        <v>27</v>
      </c>
      <c r="B11" s="1">
        <v>49</v>
      </c>
    </row>
    <row r="12" spans="1:2" x14ac:dyDescent="0.3">
      <c r="A12" s="1" t="s">
        <v>28</v>
      </c>
      <c r="B12" s="1">
        <v>51</v>
      </c>
    </row>
    <row r="13" spans="1:2" x14ac:dyDescent="0.3">
      <c r="A13" s="1" t="s">
        <v>29</v>
      </c>
      <c r="B13" s="1">
        <v>100</v>
      </c>
    </row>
    <row r="14" spans="1:2" x14ac:dyDescent="0.3">
      <c r="A14" s="1" t="s">
        <v>30</v>
      </c>
      <c r="B14" s="1">
        <v>1446</v>
      </c>
    </row>
    <row r="15" spans="1:2" x14ac:dyDescent="0.3">
      <c r="A15" s="1" t="s">
        <v>31</v>
      </c>
      <c r="B15" s="1">
        <v>19</v>
      </c>
    </row>
    <row r="16" spans="1:2" x14ac:dyDescent="0.3">
      <c r="A16" s="1" t="s">
        <v>32</v>
      </c>
      <c r="B16" s="1">
        <v>100</v>
      </c>
    </row>
    <row r="17" spans="1:2" x14ac:dyDescent="0.3">
      <c r="A17" s="1" t="s">
        <v>33</v>
      </c>
      <c r="B17" s="1">
        <v>51</v>
      </c>
    </row>
    <row r="18" spans="1:2" ht="15" thickBot="1" x14ac:dyDescent="0.35">
      <c r="A18" s="2" t="s">
        <v>34</v>
      </c>
      <c r="B18" s="2">
        <v>7.259865199275195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48E1-800C-4287-A869-CB28F69E3FF6}">
  <dimension ref="A1:I44"/>
  <sheetViews>
    <sheetView tabSelected="1" workbookViewId="0">
      <selection sqref="A1:I44"/>
    </sheetView>
  </sheetViews>
  <sheetFormatPr defaultRowHeight="14.4" x14ac:dyDescent="0.3"/>
  <sheetData>
    <row r="1" spans="1:9" x14ac:dyDescent="0.3">
      <c r="A1" t="s">
        <v>35</v>
      </c>
    </row>
    <row r="2" spans="1:9" ht="15" thickBot="1" x14ac:dyDescent="0.35"/>
    <row r="3" spans="1:9" x14ac:dyDescent="0.3">
      <c r="A3" s="4" t="s">
        <v>36</v>
      </c>
      <c r="B3" s="4"/>
    </row>
    <row r="4" spans="1:9" x14ac:dyDescent="0.3">
      <c r="A4" s="1" t="s">
        <v>37</v>
      </c>
      <c r="B4" s="1">
        <v>6.2520017643152848E-2</v>
      </c>
    </row>
    <row r="5" spans="1:9" x14ac:dyDescent="0.3">
      <c r="A5" s="1" t="s">
        <v>38</v>
      </c>
      <c r="B5" s="1">
        <v>3.9087526061001437E-3</v>
      </c>
    </row>
    <row r="6" spans="1:9" x14ac:dyDescent="0.3">
      <c r="A6" s="1" t="s">
        <v>39</v>
      </c>
      <c r="B6" s="1">
        <v>-5.1429650026894293E-2</v>
      </c>
    </row>
    <row r="7" spans="1:9" x14ac:dyDescent="0.3">
      <c r="A7" s="1" t="s">
        <v>21</v>
      </c>
      <c r="B7" s="1">
        <v>15.278365422599929</v>
      </c>
    </row>
    <row r="8" spans="1:9" ht="15" thickBot="1" x14ac:dyDescent="0.35">
      <c r="A8" s="2" t="s">
        <v>40</v>
      </c>
      <c r="B8" s="2">
        <v>20</v>
      </c>
    </row>
    <row r="10" spans="1:9" ht="15" thickBot="1" x14ac:dyDescent="0.35">
      <c r="A10" t="s">
        <v>41</v>
      </c>
    </row>
    <row r="11" spans="1:9" x14ac:dyDescent="0.3">
      <c r="A11" s="3"/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spans="1:9" x14ac:dyDescent="0.3">
      <c r="A12" s="1" t="s">
        <v>42</v>
      </c>
      <c r="B12" s="1">
        <v>1</v>
      </c>
      <c r="C12" s="1">
        <v>16.487900243051627</v>
      </c>
      <c r="D12" s="1">
        <v>16.487900243051627</v>
      </c>
      <c r="E12" s="1">
        <v>7.0633636319846121E-2</v>
      </c>
      <c r="F12" s="1">
        <v>0.79343658184178989</v>
      </c>
    </row>
    <row r="13" spans="1:9" x14ac:dyDescent="0.3">
      <c r="A13" s="1" t="s">
        <v>43</v>
      </c>
      <c r="B13" s="1">
        <v>18</v>
      </c>
      <c r="C13" s="1">
        <v>4201.7120997569482</v>
      </c>
      <c r="D13" s="1">
        <v>233.42844998649713</v>
      </c>
      <c r="E13" s="1"/>
      <c r="F13" s="1"/>
    </row>
    <row r="14" spans="1:9" ht="15" thickBot="1" x14ac:dyDescent="0.35">
      <c r="A14" s="2" t="s">
        <v>44</v>
      </c>
      <c r="B14" s="2">
        <v>19</v>
      </c>
      <c r="C14" s="2">
        <v>4218.2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51</v>
      </c>
      <c r="C16" s="3" t="s">
        <v>21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56</v>
      </c>
      <c r="I16" s="3" t="s">
        <v>57</v>
      </c>
    </row>
    <row r="17" spans="1:9" x14ac:dyDescent="0.3">
      <c r="A17" s="1" t="s">
        <v>45</v>
      </c>
      <c r="B17" s="1">
        <v>78.640980661523841</v>
      </c>
      <c r="C17" s="1">
        <v>8.0627973402834776</v>
      </c>
      <c r="D17" s="1">
        <v>9.7535603764485703</v>
      </c>
      <c r="E17" s="1">
        <v>1.30937691742801E-8</v>
      </c>
      <c r="F17" s="1">
        <v>61.701672023325465</v>
      </c>
      <c r="G17" s="1">
        <v>95.58028929972221</v>
      </c>
      <c r="H17" s="1">
        <v>61.701672023325465</v>
      </c>
      <c r="I17" s="1">
        <v>95.58028929972221</v>
      </c>
    </row>
    <row r="18" spans="1:9" ht="15" thickBot="1" x14ac:dyDescent="0.35">
      <c r="A18" s="2" t="s">
        <v>58</v>
      </c>
      <c r="B18" s="2">
        <v>-0.41741519602663041</v>
      </c>
      <c r="C18" s="2">
        <v>1.5705887165936514</v>
      </c>
      <c r="D18" s="2">
        <v>-0.26576989355426883</v>
      </c>
      <c r="E18" s="2">
        <v>0.793436581841788</v>
      </c>
      <c r="F18" s="2">
        <v>-3.7170996468721178</v>
      </c>
      <c r="G18" s="2">
        <v>2.8822692548188567</v>
      </c>
      <c r="H18" s="2">
        <v>-3.7170996468721178</v>
      </c>
      <c r="I18" s="2">
        <v>2.8822692548188567</v>
      </c>
    </row>
    <row r="22" spans="1:9" x14ac:dyDescent="0.3">
      <c r="A22" t="s">
        <v>59</v>
      </c>
    </row>
    <row r="23" spans="1:9" ht="15" thickBot="1" x14ac:dyDescent="0.35"/>
    <row r="24" spans="1:9" x14ac:dyDescent="0.3">
      <c r="A24" s="3" t="s">
        <v>60</v>
      </c>
      <c r="B24" s="3" t="s">
        <v>61</v>
      </c>
      <c r="C24" s="3" t="s">
        <v>62</v>
      </c>
      <c r="D24" s="3" t="s">
        <v>63</v>
      </c>
    </row>
    <row r="25" spans="1:9" x14ac:dyDescent="0.3">
      <c r="A25" s="1">
        <v>1</v>
      </c>
      <c r="B25" s="1">
        <v>75.343400612913456</v>
      </c>
      <c r="C25" s="1">
        <v>12.656599387086544</v>
      </c>
      <c r="D25" s="1">
        <v>0.85110019226179812</v>
      </c>
    </row>
    <row r="26" spans="1:9" x14ac:dyDescent="0.3">
      <c r="A26" s="1">
        <v>2</v>
      </c>
      <c r="B26" s="1">
        <v>76.011264926556066</v>
      </c>
      <c r="C26" s="1">
        <v>-8.0112649265560663</v>
      </c>
      <c r="D26" s="1">
        <v>-0.53872204616105901</v>
      </c>
    </row>
    <row r="27" spans="1:9" x14ac:dyDescent="0.3">
      <c r="A27" s="1">
        <v>3</v>
      </c>
      <c r="B27" s="1">
        <v>78.056599387086564</v>
      </c>
      <c r="C27" s="1">
        <v>7.943400612913436</v>
      </c>
      <c r="D27" s="1">
        <v>0.53415847196372057</v>
      </c>
    </row>
    <row r="28" spans="1:9" x14ac:dyDescent="0.3">
      <c r="A28" s="1">
        <v>4</v>
      </c>
      <c r="B28" s="1">
        <v>77.054802916622648</v>
      </c>
      <c r="C28" s="1">
        <v>-15.054802916622648</v>
      </c>
      <c r="D28" s="1">
        <v>-1.0123687465271434</v>
      </c>
    </row>
    <row r="29" spans="1:9" x14ac:dyDescent="0.3">
      <c r="A29" s="1">
        <v>5</v>
      </c>
      <c r="B29" s="1">
        <v>77.639184191059925</v>
      </c>
      <c r="C29" s="1">
        <v>-26.639184191059925</v>
      </c>
      <c r="D29" s="1">
        <v>-1.7913670246876341</v>
      </c>
    </row>
    <row r="30" spans="1:9" x14ac:dyDescent="0.3">
      <c r="A30" s="1">
        <v>6</v>
      </c>
      <c r="B30" s="1">
        <v>77.263510514635954</v>
      </c>
      <c r="C30" s="1">
        <v>22.736489485364046</v>
      </c>
      <c r="D30" s="1">
        <v>1.528928109401601</v>
      </c>
    </row>
    <row r="31" spans="1:9" x14ac:dyDescent="0.3">
      <c r="A31" s="1">
        <v>7</v>
      </c>
      <c r="B31" s="1">
        <v>75.844298848145414</v>
      </c>
      <c r="C31" s="1">
        <v>16.155701151854586</v>
      </c>
      <c r="D31" s="1">
        <v>1.0863992717109117</v>
      </c>
    </row>
    <row r="32" spans="1:9" x14ac:dyDescent="0.3">
      <c r="A32" s="1">
        <v>8</v>
      </c>
      <c r="B32" s="1">
        <v>76.971319877417315</v>
      </c>
      <c r="C32" s="1">
        <v>18.028680122582685</v>
      </c>
      <c r="D32" s="1">
        <v>1.2123488031241785</v>
      </c>
    </row>
    <row r="33" spans="1:4" x14ac:dyDescent="0.3">
      <c r="A33" s="1">
        <v>9</v>
      </c>
      <c r="B33" s="1">
        <v>77.51395963225194</v>
      </c>
      <c r="C33" s="1">
        <v>-5.5139596322519395</v>
      </c>
      <c r="D33" s="1">
        <v>-0.37078933761003696</v>
      </c>
    </row>
    <row r="34" spans="1:4" x14ac:dyDescent="0.3">
      <c r="A34" s="1">
        <v>10</v>
      </c>
      <c r="B34" s="1">
        <v>77.889633308675911</v>
      </c>
      <c r="C34" s="1">
        <v>9.1103666913240886</v>
      </c>
      <c r="D34" s="1">
        <v>0.61263176667127561</v>
      </c>
    </row>
    <row r="35" spans="1:4" x14ac:dyDescent="0.3">
      <c r="A35" s="1">
        <v>11</v>
      </c>
      <c r="B35" s="1">
        <v>75.927781887350747</v>
      </c>
      <c r="C35" s="1">
        <v>-11.927781887350747</v>
      </c>
      <c r="D35" s="1">
        <v>-0.80209044681771113</v>
      </c>
    </row>
    <row r="36" spans="1:4" x14ac:dyDescent="0.3">
      <c r="A36" s="1">
        <v>12</v>
      </c>
      <c r="B36" s="1">
        <v>75.301659093310803</v>
      </c>
      <c r="C36" s="1">
        <v>-4.3016590933108034</v>
      </c>
      <c r="D36" s="1">
        <v>-0.28926750143462548</v>
      </c>
    </row>
    <row r="37" spans="1:4" x14ac:dyDescent="0.3">
      <c r="A37" s="1">
        <v>13</v>
      </c>
      <c r="B37" s="1">
        <v>75.552108210926775</v>
      </c>
      <c r="C37" s="1">
        <v>-6.5521082109267752</v>
      </c>
      <c r="D37" s="1">
        <v>-0.44060022660822751</v>
      </c>
    </row>
    <row r="38" spans="1:4" x14ac:dyDescent="0.3">
      <c r="A38" s="1">
        <v>14</v>
      </c>
      <c r="B38" s="1">
        <v>77.472218112649273</v>
      </c>
      <c r="C38" s="1">
        <v>-8.4722181126492728</v>
      </c>
      <c r="D38" s="1">
        <v>-0.56971910416290239</v>
      </c>
    </row>
    <row r="39" spans="1:4" x14ac:dyDescent="0.3">
      <c r="A39" s="1">
        <v>15</v>
      </c>
      <c r="B39" s="1">
        <v>77.388735073443954</v>
      </c>
      <c r="C39" s="1">
        <v>-18.388735073443954</v>
      </c>
      <c r="D39" s="1">
        <v>-1.2365609021667934</v>
      </c>
    </row>
    <row r="40" spans="1:4" x14ac:dyDescent="0.3">
      <c r="A40" s="1">
        <v>16</v>
      </c>
      <c r="B40" s="1">
        <v>76.679129240198677</v>
      </c>
      <c r="C40" s="1">
        <v>-22.679129240198677</v>
      </c>
      <c r="D40" s="1">
        <v>-1.5250708872366774</v>
      </c>
    </row>
    <row r="41" spans="1:4" x14ac:dyDescent="0.3">
      <c r="A41" s="1">
        <v>17</v>
      </c>
      <c r="B41" s="1">
        <v>77.806150269470578</v>
      </c>
      <c r="C41" s="1">
        <v>20.193849730529422</v>
      </c>
      <c r="D41" s="1">
        <v>1.3579468593827215</v>
      </c>
    </row>
    <row r="42" spans="1:4" x14ac:dyDescent="0.3">
      <c r="A42" s="1">
        <v>18</v>
      </c>
      <c r="B42" s="1">
        <v>75.385142132516123</v>
      </c>
      <c r="C42" s="1">
        <v>-0.38514213251612262</v>
      </c>
      <c r="D42" s="1">
        <v>-2.5899100777973409E-2</v>
      </c>
    </row>
    <row r="43" spans="1:4" x14ac:dyDescent="0.3">
      <c r="A43" s="1">
        <v>19</v>
      </c>
      <c r="B43" s="1">
        <v>76.219972524569386</v>
      </c>
      <c r="C43" s="1">
        <v>11.780027475430614</v>
      </c>
      <c r="D43" s="1">
        <v>0.79215461772596785</v>
      </c>
    </row>
    <row r="44" spans="1:4" ht="15" thickBot="1" x14ac:dyDescent="0.35">
      <c r="A44" s="2">
        <v>20</v>
      </c>
      <c r="B44" s="2">
        <v>76.679129240198677</v>
      </c>
      <c r="C44" s="2">
        <v>9.3208707598013234</v>
      </c>
      <c r="D44" s="2">
        <v>0.62678723194859653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D2" sqref="D2:D2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88</v>
      </c>
      <c r="D2">
        <v>7.9</v>
      </c>
      <c r="E2">
        <f>AVERAGE(C2:C21)</f>
        <v>76.7</v>
      </c>
      <c r="F2">
        <f>MEDIAN(C2:C21)</f>
        <v>73.5</v>
      </c>
      <c r="G2">
        <f>MODE(C2:C21)</f>
        <v>88</v>
      </c>
      <c r="H2">
        <f>MAX(C2:C21)-MIN(C2:C21)</f>
        <v>49</v>
      </c>
      <c r="I2">
        <f>VAR(C2:C21)</f>
        <v>222.01052631578932</v>
      </c>
      <c r="J2">
        <f>STDEV(C2:C21)</f>
        <v>14.900017661593202</v>
      </c>
      <c r="K2">
        <f>CORREL(C2:C21,D2:D21)</f>
        <v>-6.2520017643153347E-2</v>
      </c>
    </row>
    <row r="3" spans="1:11" x14ac:dyDescent="0.3">
      <c r="A3">
        <v>2</v>
      </c>
      <c r="B3" t="s">
        <v>11</v>
      </c>
      <c r="C3">
        <v>68</v>
      </c>
      <c r="D3">
        <v>6.3</v>
      </c>
      <c r="E3">
        <f>AVERAGE(C2:C21)</f>
        <v>76.7</v>
      </c>
      <c r="F3">
        <f>MEDIAN(C2:C21)</f>
        <v>73.5</v>
      </c>
      <c r="G3">
        <f>MODE(C2:C21)</f>
        <v>88</v>
      </c>
      <c r="H3">
        <f>MAX(C2:C21)-MIN(C2:C21)</f>
        <v>49</v>
      </c>
      <c r="I3">
        <f>VAR(C2:C21)</f>
        <v>222.01052631578932</v>
      </c>
      <c r="J3">
        <f>STDEV(C2:C21)</f>
        <v>14.900017661593202</v>
      </c>
      <c r="K3">
        <f>CORREL(C2:C21,D2:D21)</f>
        <v>-6.2520017643153347E-2</v>
      </c>
    </row>
    <row r="4" spans="1:11" x14ac:dyDescent="0.3">
      <c r="A4">
        <v>3</v>
      </c>
      <c r="B4" t="s">
        <v>12</v>
      </c>
      <c r="C4">
        <v>86</v>
      </c>
      <c r="D4">
        <v>1.4</v>
      </c>
      <c r="E4">
        <f>AVERAGE(C2:C21)</f>
        <v>76.7</v>
      </c>
      <c r="F4">
        <f>MEDIAN(C2:C21)</f>
        <v>73.5</v>
      </c>
      <c r="G4">
        <f>MODE(C2:C21)</f>
        <v>88</v>
      </c>
      <c r="H4">
        <f>MAX(C2:C21)-MIN(C2:C21)</f>
        <v>49</v>
      </c>
      <c r="I4">
        <f>VAR(C2:C21)</f>
        <v>222.01052631578932</v>
      </c>
      <c r="J4">
        <f>STDEV(C2:C21)</f>
        <v>14.900017661593202</v>
      </c>
      <c r="K4">
        <f>CORREL(C2:C21,D2:D21)</f>
        <v>-6.2520017643153347E-2</v>
      </c>
    </row>
    <row r="5" spans="1:11" x14ac:dyDescent="0.3">
      <c r="A5">
        <v>4</v>
      </c>
      <c r="B5" t="s">
        <v>13</v>
      </c>
      <c r="C5">
        <v>62</v>
      </c>
      <c r="D5">
        <v>3.8</v>
      </c>
      <c r="E5">
        <f>AVERAGE(C2:C21)</f>
        <v>76.7</v>
      </c>
      <c r="F5">
        <f>MEDIAN(C2:C21)</f>
        <v>73.5</v>
      </c>
      <c r="G5">
        <f>MODE(C2:C21)</f>
        <v>88</v>
      </c>
      <c r="H5">
        <f>MAX(C2:C21)-MIN(C2:C21)</f>
        <v>49</v>
      </c>
      <c r="I5">
        <f>VAR(C2:C21)</f>
        <v>222.01052631578932</v>
      </c>
      <c r="J5">
        <f>STDEV(C2:C21)</f>
        <v>14.900017661593202</v>
      </c>
      <c r="K5">
        <f>CORREL(C2:C21,D2:D21)</f>
        <v>-6.2520017643153347E-2</v>
      </c>
    </row>
    <row r="6" spans="1:11" x14ac:dyDescent="0.3">
      <c r="A6">
        <v>5</v>
      </c>
      <c r="B6" t="s">
        <v>14</v>
      </c>
      <c r="C6">
        <v>51</v>
      </c>
      <c r="D6">
        <v>2.4</v>
      </c>
      <c r="E6">
        <f>AVERAGE(C2:C21)</f>
        <v>76.7</v>
      </c>
      <c r="F6">
        <f>MEDIAN(C2:C21)</f>
        <v>73.5</v>
      </c>
      <c r="G6">
        <f>MODE(C2:C21)</f>
        <v>88</v>
      </c>
      <c r="H6">
        <f>MAX(C2:C21)-MIN(C2:C21)</f>
        <v>49</v>
      </c>
      <c r="I6">
        <f>VAR(C2:C21)</f>
        <v>222.01052631578932</v>
      </c>
      <c r="J6">
        <f>STDEV(C2:C21)</f>
        <v>14.900017661593202</v>
      </c>
      <c r="K6">
        <f>CORREL(C2:C21,D2:D21)</f>
        <v>-6.2520017643153347E-2</v>
      </c>
    </row>
    <row r="7" spans="1:11" x14ac:dyDescent="0.3">
      <c r="A7">
        <v>6</v>
      </c>
      <c r="B7" t="s">
        <v>14</v>
      </c>
      <c r="C7">
        <v>100</v>
      </c>
      <c r="D7">
        <v>3.3</v>
      </c>
      <c r="E7">
        <f>AVERAGE(C2:C21)</f>
        <v>76.7</v>
      </c>
      <c r="F7">
        <f>MEDIAN(C2:C21)</f>
        <v>73.5</v>
      </c>
      <c r="G7">
        <f>MODE(C2:C21)</f>
        <v>88</v>
      </c>
      <c r="H7">
        <f>MAX(C2:C21)-MIN(C2:C21)</f>
        <v>49</v>
      </c>
      <c r="I7">
        <f>VAR(C2:C21)</f>
        <v>222.01052631578932</v>
      </c>
      <c r="J7">
        <f>STDEV(C2:C21)</f>
        <v>14.900017661593202</v>
      </c>
      <c r="K7">
        <f>CORREL(C2:C21,D2:D21)</f>
        <v>-6.2520017643153347E-2</v>
      </c>
    </row>
    <row r="8" spans="1:11" x14ac:dyDescent="0.3">
      <c r="A8">
        <v>7</v>
      </c>
      <c r="B8" t="s">
        <v>12</v>
      </c>
      <c r="C8">
        <v>92</v>
      </c>
      <c r="D8">
        <v>6.7</v>
      </c>
      <c r="E8">
        <f>AVERAGE(C2:C21)</f>
        <v>76.7</v>
      </c>
      <c r="F8">
        <f>MEDIAN(C2:C21)</f>
        <v>73.5</v>
      </c>
      <c r="G8">
        <f>MODE(C2:C21)</f>
        <v>88</v>
      </c>
      <c r="H8">
        <f>MAX(C2:C21)-MIN(C2:C21)</f>
        <v>49</v>
      </c>
      <c r="I8">
        <f>VAR(C2:C21)</f>
        <v>222.01052631578932</v>
      </c>
      <c r="J8">
        <f>STDEV(C2:C21)</f>
        <v>14.900017661593202</v>
      </c>
      <c r="K8">
        <f>CORREL(C2:C21,D2:D21)</f>
        <v>-6.2520017643153347E-2</v>
      </c>
    </row>
    <row r="9" spans="1:11" x14ac:dyDescent="0.3">
      <c r="A9">
        <v>8</v>
      </c>
      <c r="B9" t="s">
        <v>14</v>
      </c>
      <c r="C9">
        <v>95</v>
      </c>
      <c r="D9">
        <v>4</v>
      </c>
      <c r="E9">
        <f>AVERAGE(C2:C21)</f>
        <v>76.7</v>
      </c>
      <c r="F9">
        <f>MEDIAN(C2:C21)</f>
        <v>73.5</v>
      </c>
      <c r="G9">
        <f>MODE(C2:C21)</f>
        <v>88</v>
      </c>
      <c r="H9">
        <f>MAX(C2:C21)-MIN(C2:C21)</f>
        <v>49</v>
      </c>
      <c r="I9">
        <f>VAR(C2:C21)</f>
        <v>222.01052631578932</v>
      </c>
      <c r="J9">
        <f>STDEV(C2:C21)</f>
        <v>14.900017661593202</v>
      </c>
      <c r="K9">
        <f>CORREL(C2:C21,D2:D21)</f>
        <v>-6.2520017643153347E-2</v>
      </c>
    </row>
    <row r="10" spans="1:11" x14ac:dyDescent="0.3">
      <c r="A10">
        <v>9</v>
      </c>
      <c r="B10" t="s">
        <v>15</v>
      </c>
      <c r="C10">
        <v>72</v>
      </c>
      <c r="D10">
        <v>2.7</v>
      </c>
      <c r="E10">
        <f>AVERAGE(C2:C21)</f>
        <v>76.7</v>
      </c>
      <c r="F10">
        <f>MEDIAN(C2:C21)</f>
        <v>73.5</v>
      </c>
      <c r="G10">
        <f>MODE(C2:C21)</f>
        <v>88</v>
      </c>
      <c r="H10">
        <f>MAX(C2:C21)-MIN(C2:C21)</f>
        <v>49</v>
      </c>
      <c r="I10">
        <f>VAR(C2:C21)</f>
        <v>222.01052631578932</v>
      </c>
      <c r="J10">
        <f>STDEV(C2:C21)</f>
        <v>14.900017661593202</v>
      </c>
      <c r="K10">
        <f>CORREL(C2:C21,D2:D21)</f>
        <v>-6.2520017643153347E-2</v>
      </c>
    </row>
    <row r="11" spans="1:11" x14ac:dyDescent="0.3">
      <c r="A11">
        <v>10</v>
      </c>
      <c r="B11" t="s">
        <v>16</v>
      </c>
      <c r="C11">
        <v>87</v>
      </c>
      <c r="D11">
        <v>1.8</v>
      </c>
      <c r="E11">
        <f>AVERAGE(C2:C21)</f>
        <v>76.7</v>
      </c>
      <c r="F11">
        <f>MEDIAN(C2:C21)</f>
        <v>73.5</v>
      </c>
      <c r="G11">
        <f>MODE(C2:C21)</f>
        <v>88</v>
      </c>
      <c r="H11">
        <f>MAX(C2:C21)-MIN(C2:C21)</f>
        <v>49</v>
      </c>
      <c r="I11">
        <f>VAR(C2:C21)</f>
        <v>222.01052631578932</v>
      </c>
      <c r="J11">
        <f>STDEV(C2:C21)</f>
        <v>14.900017661593202</v>
      </c>
      <c r="K11">
        <f>CORREL(C2:C21,D2:D21)</f>
        <v>-6.2520017643153347E-2</v>
      </c>
    </row>
    <row r="12" spans="1:11" x14ac:dyDescent="0.3">
      <c r="A12">
        <v>11</v>
      </c>
      <c r="B12" t="s">
        <v>17</v>
      </c>
      <c r="C12">
        <v>64</v>
      </c>
      <c r="D12">
        <v>6.5</v>
      </c>
      <c r="E12">
        <f>AVERAGE(C2:C21)</f>
        <v>76.7</v>
      </c>
      <c r="F12">
        <f>MEDIAN(C2:C21)</f>
        <v>73.5</v>
      </c>
      <c r="G12">
        <f>MODE(C2:C21)</f>
        <v>88</v>
      </c>
      <c r="H12">
        <f>MAX(C2:C21)-MIN(C2:C21)</f>
        <v>49</v>
      </c>
      <c r="I12">
        <f>VAR(C2:C21)</f>
        <v>222.01052631578932</v>
      </c>
      <c r="J12">
        <f>STDEV(C2:C21)</f>
        <v>14.900017661593202</v>
      </c>
      <c r="K12">
        <f>CORREL(C2:C21,D2:D21)</f>
        <v>-6.2520017643153347E-2</v>
      </c>
    </row>
    <row r="13" spans="1:11" x14ac:dyDescent="0.3">
      <c r="A13">
        <v>12</v>
      </c>
      <c r="B13" t="s">
        <v>12</v>
      </c>
      <c r="C13">
        <v>71</v>
      </c>
      <c r="D13">
        <v>8</v>
      </c>
      <c r="E13">
        <f>AVERAGE(C2:C21)</f>
        <v>76.7</v>
      </c>
      <c r="F13">
        <f>MEDIAN(C2:C21)</f>
        <v>73.5</v>
      </c>
      <c r="G13">
        <f>MODE(C2:C21)</f>
        <v>88</v>
      </c>
      <c r="H13">
        <f>MAX(C2:C21)-MIN(C2:C21)</f>
        <v>49</v>
      </c>
      <c r="I13">
        <f>VAR(C2:C21)</f>
        <v>222.01052631578932</v>
      </c>
      <c r="J13">
        <f>STDEV(C2:C21)</f>
        <v>14.900017661593202</v>
      </c>
      <c r="K13">
        <f>CORREL(C2:C21,D2:D21)</f>
        <v>-6.2520017643153347E-2</v>
      </c>
    </row>
    <row r="14" spans="1:11" x14ac:dyDescent="0.3">
      <c r="A14">
        <v>13</v>
      </c>
      <c r="B14" t="s">
        <v>18</v>
      </c>
      <c r="C14">
        <v>69</v>
      </c>
      <c r="D14">
        <v>7.4</v>
      </c>
      <c r="E14">
        <f>AVERAGE(C2:C21)</f>
        <v>76.7</v>
      </c>
      <c r="F14">
        <f>MEDIAN(C2:C21)</f>
        <v>73.5</v>
      </c>
      <c r="G14">
        <f>MODE(C2:C21)</f>
        <v>88</v>
      </c>
      <c r="H14">
        <f>MAX(C2:C21)-MIN(C2:C21)</f>
        <v>49</v>
      </c>
      <c r="I14">
        <f>VAR(C2:C21)</f>
        <v>222.01052631578932</v>
      </c>
      <c r="J14">
        <f>STDEV(C2:C21)</f>
        <v>14.900017661593202</v>
      </c>
      <c r="K14">
        <f>CORREL(C2:C21,D2:D21)</f>
        <v>-6.2520017643153347E-2</v>
      </c>
    </row>
    <row r="15" spans="1:11" x14ac:dyDescent="0.3">
      <c r="A15">
        <v>14</v>
      </c>
      <c r="B15" t="s">
        <v>18</v>
      </c>
      <c r="C15">
        <v>69</v>
      </c>
      <c r="D15">
        <v>2.8</v>
      </c>
      <c r="E15">
        <f>AVERAGE(C2:C21)</f>
        <v>76.7</v>
      </c>
      <c r="F15">
        <f>MEDIAN(C2:C21)</f>
        <v>73.5</v>
      </c>
      <c r="G15">
        <f>MODE(C2:C21)</f>
        <v>88</v>
      </c>
      <c r="H15">
        <f>MAX(C2:C21)-MIN(C2:C21)</f>
        <v>49</v>
      </c>
      <c r="I15">
        <f>VAR(C2:C21)</f>
        <v>222.01052631578932</v>
      </c>
      <c r="J15">
        <f>STDEV(C2:C21)</f>
        <v>14.900017661593202</v>
      </c>
      <c r="K15">
        <f>CORREL(C2:C21,D2:D21)</f>
        <v>-6.2520017643153347E-2</v>
      </c>
    </row>
    <row r="16" spans="1:11" x14ac:dyDescent="0.3">
      <c r="A16">
        <v>15</v>
      </c>
      <c r="B16" t="s">
        <v>13</v>
      </c>
      <c r="C16">
        <v>59</v>
      </c>
      <c r="D16">
        <v>3</v>
      </c>
      <c r="E16">
        <f>AVERAGE(C2:C21)</f>
        <v>76.7</v>
      </c>
      <c r="F16">
        <f>MEDIAN(C2:C21)</f>
        <v>73.5</v>
      </c>
      <c r="G16">
        <f>MODE(C2:C21)</f>
        <v>88</v>
      </c>
      <c r="H16">
        <f>MAX(C2:C21)-MIN(C2:C21)</f>
        <v>49</v>
      </c>
      <c r="I16">
        <f>VAR(C2:C21)</f>
        <v>222.01052631578932</v>
      </c>
      <c r="J16">
        <f>STDEV(C2:C21)</f>
        <v>14.900017661593202</v>
      </c>
      <c r="K16">
        <f>CORREL(C2:C21,D2:D21)</f>
        <v>-6.2520017643153347E-2</v>
      </c>
    </row>
    <row r="17" spans="1:11" x14ac:dyDescent="0.3">
      <c r="A17">
        <v>16</v>
      </c>
      <c r="B17" t="s">
        <v>19</v>
      </c>
      <c r="C17">
        <v>54</v>
      </c>
      <c r="D17">
        <v>4.7</v>
      </c>
      <c r="E17">
        <f>AVERAGE(C2:C21)</f>
        <v>76.7</v>
      </c>
      <c r="F17">
        <f>MEDIAN(C2:C21)</f>
        <v>73.5</v>
      </c>
      <c r="G17">
        <f>MODE(C2:C21)</f>
        <v>88</v>
      </c>
      <c r="H17">
        <f>MAX(C2:C21)-MIN(C2:C21)</f>
        <v>49</v>
      </c>
      <c r="I17">
        <f>VAR(C2:C21)</f>
        <v>222.01052631578932</v>
      </c>
      <c r="J17">
        <f>STDEV(C2:C21)</f>
        <v>14.900017661593202</v>
      </c>
      <c r="K17">
        <f>CORREL(C2:C21,D2:D21)</f>
        <v>-6.2520017643153347E-2</v>
      </c>
    </row>
    <row r="18" spans="1:11" x14ac:dyDescent="0.3">
      <c r="A18">
        <v>17</v>
      </c>
      <c r="B18" t="s">
        <v>14</v>
      </c>
      <c r="C18">
        <v>98</v>
      </c>
      <c r="D18">
        <v>2</v>
      </c>
      <c r="E18">
        <f>AVERAGE(C2:C21)</f>
        <v>76.7</v>
      </c>
      <c r="F18">
        <f>MEDIAN(C2:C21)</f>
        <v>73.5</v>
      </c>
      <c r="G18">
        <f>MODE(C2:C21)</f>
        <v>88</v>
      </c>
      <c r="H18">
        <f>MAX(C2:C21)-MIN(C2:C21)</f>
        <v>49</v>
      </c>
      <c r="I18">
        <f>VAR(C2:C21)</f>
        <v>222.01052631578932</v>
      </c>
      <c r="J18">
        <f>STDEV(C2:C21)</f>
        <v>14.900017661593202</v>
      </c>
      <c r="K18">
        <f>CORREL(C2:C21,D2:D21)</f>
        <v>-6.2520017643153347E-2</v>
      </c>
    </row>
    <row r="19" spans="1:11" x14ac:dyDescent="0.3">
      <c r="A19">
        <v>18</v>
      </c>
      <c r="B19" t="s">
        <v>13</v>
      </c>
      <c r="C19">
        <v>75</v>
      </c>
      <c r="D19">
        <v>7.8</v>
      </c>
      <c r="E19">
        <f>AVERAGE(C2:C21)</f>
        <v>76.7</v>
      </c>
      <c r="F19">
        <f>MEDIAN(C2:C21)</f>
        <v>73.5</v>
      </c>
      <c r="G19">
        <f>MODE(C2:C21)</f>
        <v>88</v>
      </c>
      <c r="H19">
        <f>MAX(C2:C21)-MIN(C2:C21)</f>
        <v>49</v>
      </c>
      <c r="I19">
        <f>VAR(C2:C21)</f>
        <v>222.01052631578932</v>
      </c>
      <c r="J19">
        <f>STDEV(C2:C21)</f>
        <v>14.900017661593202</v>
      </c>
      <c r="K19">
        <f>CORREL(C2:C21,D2:D21)</f>
        <v>-6.2520017643153347E-2</v>
      </c>
    </row>
    <row r="20" spans="1:11" x14ac:dyDescent="0.3">
      <c r="A20">
        <v>19</v>
      </c>
      <c r="B20" t="s">
        <v>11</v>
      </c>
      <c r="C20">
        <v>88</v>
      </c>
      <c r="D20">
        <v>5.8</v>
      </c>
      <c r="E20">
        <f>AVERAGE(C2:C21)</f>
        <v>76.7</v>
      </c>
      <c r="F20">
        <f>MEDIAN(C2:C21)</f>
        <v>73.5</v>
      </c>
      <c r="G20">
        <f>MODE(C2:C21)</f>
        <v>88</v>
      </c>
      <c r="H20">
        <f>MAX(C2:C21)-MIN(C2:C21)</f>
        <v>49</v>
      </c>
      <c r="I20">
        <f>VAR(C2:C21)</f>
        <v>222.01052631578932</v>
      </c>
      <c r="J20">
        <f>STDEV(C2:C21)</f>
        <v>14.900017661593202</v>
      </c>
      <c r="K20">
        <f>CORREL(C2:C21,D2:D21)</f>
        <v>-6.2520017643153347E-2</v>
      </c>
    </row>
    <row r="21" spans="1:11" x14ac:dyDescent="0.3">
      <c r="A21">
        <v>20</v>
      </c>
      <c r="B21" t="s">
        <v>11</v>
      </c>
      <c r="C21">
        <v>86</v>
      </c>
      <c r="D21">
        <v>4.7</v>
      </c>
      <c r="E21">
        <f>AVERAGE(C2:C21)</f>
        <v>76.7</v>
      </c>
      <c r="F21">
        <f>MEDIAN(C2:C21)</f>
        <v>73.5</v>
      </c>
      <c r="G21">
        <f>MODE(C2:C21)</f>
        <v>88</v>
      </c>
      <c r="H21">
        <f>MAX(C2:C21)-MIN(C2:C21)</f>
        <v>49</v>
      </c>
      <c r="I21">
        <f>VAR(C2:C21)</f>
        <v>222.01052631578932</v>
      </c>
      <c r="J21">
        <f>STDEV(C2:C21)</f>
        <v>14.900017661593202</v>
      </c>
      <c r="K21">
        <f>CORREL(C2:C21,D2:D21)</f>
        <v>-6.2520017643153347E-2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Krishna</cp:lastModifiedBy>
  <dcterms:created xsi:type="dcterms:W3CDTF">2026-05-27T01:38:11Z</dcterms:created>
  <dcterms:modified xsi:type="dcterms:W3CDTF">2026-05-27T03:08:26Z</dcterms:modified>
</cp:coreProperties>
</file>