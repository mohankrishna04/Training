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han\Downloads\"/>
    </mc:Choice>
  </mc:AlternateContent>
  <xr:revisionPtr revIDLastSave="0" documentId="13_ncr:1_{CA2AFAEE-7C32-4E5F-AD5F-E103BC0A0AE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heet3" sheetId="4" r:id="rId1"/>
    <sheet name="Sheet4" sheetId="5" r:id="rId2"/>
    <sheet name="Sheet5" sheetId="6" r:id="rId3"/>
    <sheet name="Sheet" sheetId="1" r:id="rId4"/>
  </sheets>
  <calcPr calcId="191029"/>
  <pivotCaches>
    <pivotCache cacheId="2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1" i="1" l="1"/>
  <c r="J21" i="1"/>
  <c r="I21" i="1"/>
  <c r="H21" i="1"/>
  <c r="G21" i="1"/>
  <c r="F21" i="1"/>
  <c r="E21" i="1"/>
  <c r="K20" i="1"/>
  <c r="J20" i="1"/>
  <c r="I20" i="1"/>
  <c r="H20" i="1"/>
  <c r="G20" i="1"/>
  <c r="F20" i="1"/>
  <c r="E20" i="1"/>
  <c r="K19" i="1"/>
  <c r="J19" i="1"/>
  <c r="I19" i="1"/>
  <c r="H19" i="1"/>
  <c r="G19" i="1"/>
  <c r="F19" i="1"/>
  <c r="E19" i="1"/>
  <c r="K18" i="1"/>
  <c r="J18" i="1"/>
  <c r="I18" i="1"/>
  <c r="H18" i="1"/>
  <c r="G18" i="1"/>
  <c r="F18" i="1"/>
  <c r="E18" i="1"/>
  <c r="K17" i="1"/>
  <c r="J17" i="1"/>
  <c r="I17" i="1"/>
  <c r="H17" i="1"/>
  <c r="G17" i="1"/>
  <c r="F17" i="1"/>
  <c r="E17" i="1"/>
  <c r="K16" i="1"/>
  <c r="J16" i="1"/>
  <c r="I16" i="1"/>
  <c r="H16" i="1"/>
  <c r="G16" i="1"/>
  <c r="F16" i="1"/>
  <c r="E16" i="1"/>
  <c r="K15" i="1"/>
  <c r="J15" i="1"/>
  <c r="I15" i="1"/>
  <c r="H15" i="1"/>
  <c r="G15" i="1"/>
  <c r="F15" i="1"/>
  <c r="E15" i="1"/>
  <c r="K14" i="1"/>
  <c r="J14" i="1"/>
  <c r="I14" i="1"/>
  <c r="H14" i="1"/>
  <c r="G14" i="1"/>
  <c r="F14" i="1"/>
  <c r="E14" i="1"/>
  <c r="K13" i="1"/>
  <c r="J13" i="1"/>
  <c r="I13" i="1"/>
  <c r="H13" i="1"/>
  <c r="G13" i="1"/>
  <c r="F13" i="1"/>
  <c r="E13" i="1"/>
  <c r="K12" i="1"/>
  <c r="J12" i="1"/>
  <c r="I12" i="1"/>
  <c r="H12" i="1"/>
  <c r="G12" i="1"/>
  <c r="F12" i="1"/>
  <c r="E12" i="1"/>
  <c r="K11" i="1"/>
  <c r="J11" i="1"/>
  <c r="I11" i="1"/>
  <c r="H11" i="1"/>
  <c r="G11" i="1"/>
  <c r="F11" i="1"/>
  <c r="E11" i="1"/>
  <c r="K10" i="1"/>
  <c r="J10" i="1"/>
  <c r="I10" i="1"/>
  <c r="H10" i="1"/>
  <c r="G10" i="1"/>
  <c r="F10" i="1"/>
  <c r="E10" i="1"/>
  <c r="K9" i="1"/>
  <c r="J9" i="1"/>
  <c r="I9" i="1"/>
  <c r="H9" i="1"/>
  <c r="G9" i="1"/>
  <c r="F9" i="1"/>
  <c r="E9" i="1"/>
  <c r="K8" i="1"/>
  <c r="J8" i="1"/>
  <c r="I8" i="1"/>
  <c r="H8" i="1"/>
  <c r="G8" i="1"/>
  <c r="F8" i="1"/>
  <c r="E8" i="1"/>
  <c r="K7" i="1"/>
  <c r="J7" i="1"/>
  <c r="I7" i="1"/>
  <c r="H7" i="1"/>
  <c r="G7" i="1"/>
  <c r="F7" i="1"/>
  <c r="E7" i="1"/>
  <c r="K6" i="1"/>
  <c r="J6" i="1"/>
  <c r="I6" i="1"/>
  <c r="H6" i="1"/>
  <c r="G6" i="1"/>
  <c r="F6" i="1"/>
  <c r="E6" i="1"/>
  <c r="K5" i="1"/>
  <c r="J5" i="1"/>
  <c r="I5" i="1"/>
  <c r="H5" i="1"/>
  <c r="G5" i="1"/>
  <c r="F5" i="1"/>
  <c r="E5" i="1"/>
  <c r="K4" i="1"/>
  <c r="J4" i="1"/>
  <c r="I4" i="1"/>
  <c r="H4" i="1"/>
  <c r="G4" i="1"/>
  <c r="F4" i="1"/>
  <c r="E4" i="1"/>
  <c r="K3" i="1"/>
  <c r="J3" i="1"/>
  <c r="I3" i="1"/>
  <c r="H3" i="1"/>
  <c r="G3" i="1"/>
  <c r="F3" i="1"/>
  <c r="E3" i="1"/>
  <c r="K2" i="1"/>
  <c r="J2" i="1"/>
  <c r="I2" i="1"/>
  <c r="H2" i="1"/>
  <c r="G2" i="1"/>
  <c r="F2" i="1"/>
  <c r="E2" i="1"/>
</calcChain>
</file>

<file path=xl/sharedStrings.xml><?xml version="1.0" encoding="utf-8"?>
<sst xmlns="http://schemas.openxmlformats.org/spreadsheetml/2006/main" count="86" uniqueCount="62">
  <si>
    <t>Student_ID</t>
  </si>
  <si>
    <t>Student_Name</t>
  </si>
  <si>
    <t>Marks</t>
  </si>
  <si>
    <t>Study_Hours_Per_Day</t>
  </si>
  <si>
    <t>MEAN</t>
  </si>
  <si>
    <t>MEDIAN</t>
  </si>
  <si>
    <t>MODE</t>
  </si>
  <si>
    <t>RANGE</t>
  </si>
  <si>
    <t>VARIANCE</t>
  </si>
  <si>
    <t>Standard Deviation</t>
  </si>
  <si>
    <t>CORRELATION</t>
  </si>
  <si>
    <t>Divya</t>
  </si>
  <si>
    <t>Arjun</t>
  </si>
  <si>
    <t>Vikram</t>
  </si>
  <si>
    <t>Rohit</t>
  </si>
  <si>
    <t>Kiran</t>
  </si>
  <si>
    <t>Priya</t>
  </si>
  <si>
    <t>Ananya</t>
  </si>
  <si>
    <t>Nikhil</t>
  </si>
  <si>
    <t>Rahul</t>
  </si>
  <si>
    <t>Sneha</t>
  </si>
  <si>
    <t>Count of Student_Name</t>
  </si>
  <si>
    <t>Column1</t>
  </si>
  <si>
    <t>Mean</t>
  </si>
  <si>
    <t>Standard Error</t>
  </si>
  <si>
    <t>Median</t>
  </si>
  <si>
    <t>Mode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</si>
  <si>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</si>
  <si>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</si>
  <si>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</si>
  <si>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</si>
  <si>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</si>
  <si>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</si>
  <si>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</si>
  <si>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</si>
  <si>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</si>
  <si>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</si>
  <si>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Confidence Level(95.0%)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</si>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</sst>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[XL_Practice_Fixed_2.xlsx]Sheet3!PivotTable15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Student_Name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Sheet3!$A$4:$A$13</c:f>
              <c:strCache>
                <c:ptCount val="10"/>
                <c:pt idx="0">
                  <c:v>Ananya</c:v>
                </c:pt>
                <c:pt idx="1">
                  <c:v>Arjun</c:v>
                </c:pt>
                <c:pt idx="2">
                  <c:v>Divya</c:v>
                </c:pt>
                <c:pt idx="3">
                  <c:v>Kiran</c:v>
                </c:pt>
                <c:pt idx="4">
                  <c:v>Nikhil</c:v>
                </c:pt>
                <c:pt idx="5">
                  <c:v>Priya</c:v>
                </c:pt>
                <c:pt idx="6">
                  <c:v>Rahul</c:v>
                </c:pt>
                <c:pt idx="7">
                  <c:v>Rohit</c:v>
                </c:pt>
                <c:pt idx="8">
                  <c:v>Sneha</c:v>
                </c:pt>
                <c:pt idx="9">
                  <c:v>Vikram</c:v>
                </c:pt>
              </c:strCache>
            </c:strRef>
          </c:cat>
          <c:val>
            <c:numRef>
              <c:f>Sheet3!$B$4:$B$13</c:f>
              <c:numCache>
                <c:formatCode>General</c:formatCode>
                <c:ptCount val="10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6E-4331-BF3B-DD7E28061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2678159"/>
        <c:axId val="1782685839"/>
      </c:barChart>
      <c:catAx>
        <c:axId val="178267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685839"/>
        <c:crosses val="autoZero"/>
        <c:auto val="1"/>
        <c:lblAlgn val="ctr"/>
        <c:lblOffset val="100"/>
        <c:noMultiLvlLbl val="0"/>
      </c:catAx>
      <c:valAx>
        <c:axId val="178268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678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marks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Sheet!$C$2:$C$21</c:f>
              <c:numCache>
                <c:formatCode>General</c:formatCode>
                <c:ptCount val="20"/>
                <c:pt idx="0">
                  <c:v>68</c:v>
                </c:pt>
                <c:pt idx="1">
                  <c:v>71</c:v>
                </c:pt>
                <c:pt idx="2">
                  <c:v>75</c:v>
                </c:pt>
                <c:pt idx="3">
                  <c:v>95</c:v>
                </c:pt>
                <c:pt idx="4">
                  <c:v>66</c:v>
                </c:pt>
                <c:pt idx="5">
                  <c:v>65</c:v>
                </c:pt>
                <c:pt idx="6">
                  <c:v>53</c:v>
                </c:pt>
                <c:pt idx="7">
                  <c:v>60</c:v>
                </c:pt>
                <c:pt idx="8">
                  <c:v>86</c:v>
                </c:pt>
                <c:pt idx="9">
                  <c:v>79</c:v>
                </c:pt>
                <c:pt idx="10">
                  <c:v>64</c:v>
                </c:pt>
                <c:pt idx="11">
                  <c:v>84</c:v>
                </c:pt>
                <c:pt idx="12">
                  <c:v>99</c:v>
                </c:pt>
                <c:pt idx="13">
                  <c:v>76</c:v>
                </c:pt>
                <c:pt idx="14">
                  <c:v>91</c:v>
                </c:pt>
                <c:pt idx="15">
                  <c:v>77</c:v>
                </c:pt>
                <c:pt idx="16">
                  <c:v>100</c:v>
                </c:pt>
                <c:pt idx="17">
                  <c:v>66</c:v>
                </c:pt>
                <c:pt idx="18">
                  <c:v>56</c:v>
                </c:pt>
                <c:pt idx="19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B2-412C-A983-C7F7FFA8C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2657999"/>
        <c:axId val="1782661839"/>
      </c:lineChart>
      <c:catAx>
        <c:axId val="17826579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661839"/>
        <c:crosses val="autoZero"/>
        <c:auto val="1"/>
        <c:lblAlgn val="ctr"/>
        <c:lblOffset val="100"/>
        <c:noMultiLvlLbl val="0"/>
      </c:catAx>
      <c:valAx>
        <c:axId val="178266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657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Sheet!$C$1</c:f>
              <c:strCache>
                <c:ptCount val="1"/>
                <c:pt idx="0">
                  <c:v>Marks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Sheet!$C$2:$C$21</c:f>
              <c:numCache>
                <c:formatCode>General</c:formatCode>
                <c:ptCount val="20"/>
                <c:pt idx="0">
                  <c:v>68</c:v>
                </c:pt>
                <c:pt idx="1">
                  <c:v>71</c:v>
                </c:pt>
                <c:pt idx="2">
                  <c:v>75</c:v>
                </c:pt>
                <c:pt idx="3">
                  <c:v>95</c:v>
                </c:pt>
                <c:pt idx="4">
                  <c:v>66</c:v>
                </c:pt>
                <c:pt idx="5">
                  <c:v>65</c:v>
                </c:pt>
                <c:pt idx="6">
                  <c:v>53</c:v>
                </c:pt>
                <c:pt idx="7">
                  <c:v>60</c:v>
                </c:pt>
                <c:pt idx="8">
                  <c:v>86</c:v>
                </c:pt>
                <c:pt idx="9">
                  <c:v>79</c:v>
                </c:pt>
                <c:pt idx="10">
                  <c:v>64</c:v>
                </c:pt>
                <c:pt idx="11">
                  <c:v>84</c:v>
                </c:pt>
                <c:pt idx="12">
                  <c:v>99</c:v>
                </c:pt>
                <c:pt idx="13">
                  <c:v>76</c:v>
                </c:pt>
                <c:pt idx="14">
                  <c:v>91</c:v>
                </c:pt>
                <c:pt idx="15">
                  <c:v>77</c:v>
                </c:pt>
                <c:pt idx="16">
                  <c:v>100</c:v>
                </c:pt>
                <c:pt idx="17">
                  <c:v>66</c:v>
                </c:pt>
                <c:pt idx="18">
                  <c:v>56</c:v>
                </c:pt>
                <c:pt idx="19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64-4537-8389-9B032F23E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541020</xdr:colOff>
      <xdr:row>5</xdr:row>
      <xdr:rowOff>133350</xdr:rowOff>
    </xdr:from>
    <xdr:to>
      <xdr:col>10</xdr:col>
      <xdr:colOff>236220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3B7415-2B29-E714-3314-3E471AA73F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220980</xdr:colOff>
      <xdr:row>1</xdr:row>
      <xdr:rowOff>110490</xdr:rowOff>
    </xdr:from>
    <xdr:to>
      <xdr:col>18</xdr:col>
      <xdr:colOff>525780</xdr:colOff>
      <xdr:row>16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36B4F0-F9C0-AF07-7F0F-5CB8EAFAA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426720</xdr:colOff>
      <xdr:row>14</xdr:row>
      <xdr:rowOff>80010</xdr:rowOff>
    </xdr:from>
    <xdr:to>
      <xdr:col>19</xdr:col>
      <xdr:colOff>121920</xdr:colOff>
      <xdr:row>29</xdr:row>
      <xdr:rowOff>80010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390494-B3EC-A17B-DBF9-95122946B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n" refreshedDate="46169.353062847222" createdVersion="8" refreshedVersion="8" minRefreshableVersion="3" recordCount="20" xr:uid="{50B7FB48-B00A-42EF-AAC4-D3B275A012F6}">
  <cacheSource type="worksheet">
    <worksheetSource ref="A1:K21" sheet="Sheet"/>
  </cacheSource>
  <cacheFields count="11">
    <cacheField name="Student_ID" numFmtId="0">
      <sharedItems containsSemiMixedTypes="0" containsString="0" containsNumber="1" containsInteger="1" minValue="1" maxValue="20"/>
    </cacheField>
    <cacheField name="Student_Name" numFmtId="0">
      <sharedItems count="10">
        <s v="Divya"/>
        <s v="Arjun"/>
        <s v="Vikram"/>
        <s v="Rohit"/>
        <s v="Kiran"/>
        <s v="Priya"/>
        <s v="Ananya"/>
        <s v="Nikhil"/>
        <s v="Rahul"/>
        <s v="Sneha"/>
      </sharedItems>
    </cacheField>
    <cacheField name="Marks" numFmtId="0">
      <sharedItems containsSemiMixedTypes="0" containsString="0" containsNumber="1" containsInteger="1" minValue="51" maxValue="100"/>
    </cacheField>
    <cacheField name="Study_Hours_Per_Day" numFmtId="0">
      <sharedItems containsSemiMixedTypes="0" containsString="0" containsNumber="1" minValue="1.3" maxValue="7.7"/>
    </cacheField>
    <cacheField name="MEAN" numFmtId="0">
      <sharedItems containsSemiMixedTypes="0" containsString="0" containsNumber="1" minValue="74.099999999999994" maxValue="74.099999999999994"/>
    </cacheField>
    <cacheField name="MEDIAN" numFmtId="0">
      <sharedItems containsSemiMixedTypes="0" containsString="0" containsNumber="1" containsInteger="1" minValue="73" maxValue="73"/>
    </cacheField>
    <cacheField name="MODE" numFmtId="0">
      <sharedItems containsSemiMixedTypes="0" containsString="0" containsNumber="1" containsInteger="1" minValue="66" maxValue="66"/>
    </cacheField>
    <cacheField name="RANGE" numFmtId="0">
      <sharedItems containsSemiMixedTypes="0" containsString="0" containsNumber="1" containsInteger="1" minValue="49" maxValue="49"/>
    </cacheField>
    <cacheField name="VARIANCE" numFmtId="0">
      <sharedItems containsSemiMixedTypes="0" containsString="0" containsNumber="1" minValue="218.83157894736857" maxValue="218.83157894736857"/>
    </cacheField>
    <cacheField name="Standard Deviation" numFmtId="0">
      <sharedItems containsSemiMixedTypes="0" containsString="0" containsNumber="1" minValue="14.79295707245068" maxValue="14.79295707245068"/>
    </cacheField>
    <cacheField name="CORRELATION" numFmtId="0">
      <sharedItems containsSemiMixedTypes="0" containsString="0" containsNumber="1" minValue="0.12931864273385163" maxValue="0.129318642733851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"/>
    <x v="0"/>
    <n v="68"/>
    <n v="4.0999999999999996"/>
    <n v="74.099999999999994"/>
    <n v="73"/>
    <n v="66"/>
    <n v="49"/>
    <n v="218.83157894736857"/>
    <n v="14.79295707245068"/>
    <n v="0.12931864273385163"/>
  </r>
  <r>
    <n v="2"/>
    <x v="1"/>
    <n v="71"/>
    <n v="4.2"/>
    <n v="74.099999999999994"/>
    <n v="73"/>
    <n v="66"/>
    <n v="49"/>
    <n v="218.83157894736857"/>
    <n v="14.79295707245068"/>
    <n v="0.12931864273385163"/>
  </r>
  <r>
    <n v="3"/>
    <x v="2"/>
    <n v="75"/>
    <n v="7.7"/>
    <n v="74.099999999999994"/>
    <n v="73"/>
    <n v="66"/>
    <n v="49"/>
    <n v="218.83157894736857"/>
    <n v="14.79295707245068"/>
    <n v="0.12931864273385163"/>
  </r>
  <r>
    <n v="4"/>
    <x v="0"/>
    <n v="95"/>
    <n v="6.3"/>
    <n v="74.099999999999994"/>
    <n v="73"/>
    <n v="66"/>
    <n v="49"/>
    <n v="218.83157894736857"/>
    <n v="14.79295707245068"/>
    <n v="0.12931864273385163"/>
  </r>
  <r>
    <n v="5"/>
    <x v="3"/>
    <n v="66"/>
    <n v="2.5"/>
    <n v="74.099999999999994"/>
    <n v="73"/>
    <n v="66"/>
    <n v="49"/>
    <n v="218.83157894736857"/>
    <n v="14.79295707245068"/>
    <n v="0.12931864273385163"/>
  </r>
  <r>
    <n v="6"/>
    <x v="1"/>
    <n v="65"/>
    <n v="3.8"/>
    <n v="74.099999999999994"/>
    <n v="73"/>
    <n v="66"/>
    <n v="49"/>
    <n v="218.83157894736857"/>
    <n v="14.79295707245068"/>
    <n v="0.12931864273385163"/>
  </r>
  <r>
    <n v="7"/>
    <x v="4"/>
    <n v="53"/>
    <n v="6.2"/>
    <n v="74.099999999999994"/>
    <n v="73"/>
    <n v="66"/>
    <n v="49"/>
    <n v="218.83157894736857"/>
    <n v="14.79295707245068"/>
    <n v="0.12931864273385163"/>
  </r>
  <r>
    <n v="8"/>
    <x v="5"/>
    <n v="60"/>
    <n v="5.6"/>
    <n v="74.099999999999994"/>
    <n v="73"/>
    <n v="66"/>
    <n v="49"/>
    <n v="218.83157894736857"/>
    <n v="14.79295707245068"/>
    <n v="0.12931864273385163"/>
  </r>
  <r>
    <n v="9"/>
    <x v="0"/>
    <n v="86"/>
    <n v="5.5"/>
    <n v="74.099999999999994"/>
    <n v="73"/>
    <n v="66"/>
    <n v="49"/>
    <n v="218.83157894736857"/>
    <n v="14.79295707245068"/>
    <n v="0.12931864273385163"/>
  </r>
  <r>
    <n v="10"/>
    <x v="4"/>
    <n v="79"/>
    <n v="3.8"/>
    <n v="74.099999999999994"/>
    <n v="73"/>
    <n v="66"/>
    <n v="49"/>
    <n v="218.83157894736857"/>
    <n v="14.79295707245068"/>
    <n v="0.12931864273385163"/>
  </r>
  <r>
    <n v="11"/>
    <x v="5"/>
    <n v="64"/>
    <n v="3.3"/>
    <n v="74.099999999999994"/>
    <n v="73"/>
    <n v="66"/>
    <n v="49"/>
    <n v="218.83157894736857"/>
    <n v="14.79295707245068"/>
    <n v="0.12931864273385163"/>
  </r>
  <r>
    <n v="12"/>
    <x v="5"/>
    <n v="84"/>
    <n v="3.9"/>
    <n v="74.099999999999994"/>
    <n v="73"/>
    <n v="66"/>
    <n v="49"/>
    <n v="218.83157894736857"/>
    <n v="14.79295707245068"/>
    <n v="0.12931864273385163"/>
  </r>
  <r>
    <n v="13"/>
    <x v="6"/>
    <n v="99"/>
    <n v="7.2"/>
    <n v="74.099999999999994"/>
    <n v="73"/>
    <n v="66"/>
    <n v="49"/>
    <n v="218.83157894736857"/>
    <n v="14.79295707245068"/>
    <n v="0.12931864273385163"/>
  </r>
  <r>
    <n v="14"/>
    <x v="7"/>
    <n v="76"/>
    <n v="6.9"/>
    <n v="74.099999999999994"/>
    <n v="73"/>
    <n v="66"/>
    <n v="49"/>
    <n v="218.83157894736857"/>
    <n v="14.79295707245068"/>
    <n v="0.12931864273385163"/>
  </r>
  <r>
    <n v="15"/>
    <x v="8"/>
    <n v="91"/>
    <n v="1.3"/>
    <n v="74.099999999999994"/>
    <n v="73"/>
    <n v="66"/>
    <n v="49"/>
    <n v="218.83157894736857"/>
    <n v="14.79295707245068"/>
    <n v="0.12931864273385163"/>
  </r>
  <r>
    <n v="16"/>
    <x v="6"/>
    <n v="77"/>
    <n v="1.4"/>
    <n v="74.099999999999994"/>
    <n v="73"/>
    <n v="66"/>
    <n v="49"/>
    <n v="218.83157894736857"/>
    <n v="14.79295707245068"/>
    <n v="0.12931864273385163"/>
  </r>
  <r>
    <n v="17"/>
    <x v="9"/>
    <n v="100"/>
    <n v="2.7"/>
    <n v="74.099999999999994"/>
    <n v="73"/>
    <n v="66"/>
    <n v="49"/>
    <n v="218.83157894736857"/>
    <n v="14.79295707245068"/>
    <n v="0.12931864273385163"/>
  </r>
  <r>
    <n v="18"/>
    <x v="6"/>
    <n v="66"/>
    <n v="3"/>
    <n v="74.099999999999994"/>
    <n v="73"/>
    <n v="66"/>
    <n v="49"/>
    <n v="218.83157894736857"/>
    <n v="14.79295707245068"/>
    <n v="0.12931864273385163"/>
  </r>
  <r>
    <n v="19"/>
    <x v="4"/>
    <n v="56"/>
    <n v="2.2999999999999998"/>
    <n v="74.099999999999994"/>
    <n v="73"/>
    <n v="66"/>
    <n v="49"/>
    <n v="218.83157894736857"/>
    <n v="14.79295707245068"/>
    <n v="0.12931864273385163"/>
  </r>
  <r>
    <n v="20"/>
    <x v="3"/>
    <n v="51"/>
    <n v="3.4"/>
    <n v="74.099999999999994"/>
    <n v="73"/>
    <n v="66"/>
    <n v="49"/>
    <n v="218.83157894736857"/>
    <n v="14.79295707245068"/>
    <n v="0.1293186427338516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CF4FFB-6710-4872-9623-99A4E5EF5687}" name="PivotTable15" cacheId="2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13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10">
        <item x="6"/>
        <item x="1"/>
        <item x="0"/>
        <item x="4"/>
        <item x="7"/>
        <item x="5"/>
        <item x="8"/>
        <item x="3"/>
        <item x="9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name="Count of Student_Name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CBEFD-DB9A-431C-B69C-E827AA306BB5}">
  <dimension ref="A3:B13"/>
  <sheetViews>
    <sheetView workbookViewId="0">
      <selection activeCell="A3" sqref="A3"/>
    </sheetView>
  </sheetViews>
  <sheetFormatPr defaultRowHeight="14.4" x14ac:dyDescent="0.3"/>
  <cols>
    <col min="1" max="1" width="16" bestFit="1" customWidth="1"/>
    <col min="2" max="2" width="21.77734375" bestFit="1" customWidth="1"/>
  </cols>
  <sheetData>
    <row r="3" spans="1:2" x14ac:dyDescent="0.3">
      <c r="A3" s="1" t="s">
        <v>1</v>
      </c>
      <c r="B3" t="s">
        <v>21</v>
      </c>
    </row>
    <row r="4" spans="1:2" x14ac:dyDescent="0.3">
      <c r="A4" t="s">
        <v>17</v>
      </c>
      <c r="B4" s="2">
        <v>3</v>
      </c>
    </row>
    <row r="5" spans="1:2" x14ac:dyDescent="0.3">
      <c r="A5" t="s">
        <v>12</v>
      </c>
      <c r="B5" s="2">
        <v>2</v>
      </c>
    </row>
    <row r="6" spans="1:2" x14ac:dyDescent="0.3">
      <c r="A6" t="s">
        <v>11</v>
      </c>
      <c r="B6" s="2">
        <v>3</v>
      </c>
    </row>
    <row r="7" spans="1:2" x14ac:dyDescent="0.3">
      <c r="A7" t="s">
        <v>15</v>
      </c>
      <c r="B7" s="2">
        <v>3</v>
      </c>
    </row>
    <row r="8" spans="1:2" x14ac:dyDescent="0.3">
      <c r="A8" t="s">
        <v>18</v>
      </c>
      <c r="B8" s="2">
        <v>1</v>
      </c>
    </row>
    <row r="9" spans="1:2" x14ac:dyDescent="0.3">
      <c r="A9" t="s">
        <v>16</v>
      </c>
      <c r="B9" s="2">
        <v>3</v>
      </c>
    </row>
    <row r="10" spans="1:2" x14ac:dyDescent="0.3">
      <c r="A10" t="s">
        <v>19</v>
      </c>
      <c r="B10" s="2">
        <v>1</v>
      </c>
    </row>
    <row r="11" spans="1:2" x14ac:dyDescent="0.3">
      <c r="A11" t="s">
        <v>14</v>
      </c>
      <c r="B11" s="2">
        <v>2</v>
      </c>
    </row>
    <row r="12" spans="1:2" x14ac:dyDescent="0.3">
      <c r="A12" t="s">
        <v>20</v>
      </c>
      <c r="B12" s="2">
        <v>1</v>
      </c>
    </row>
    <row r="13" spans="1:2" x14ac:dyDescent="0.3">
      <c r="A13" t="s">
        <v>13</v>
      </c>
      <c r="B13" s="2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896CB-80AC-4E8B-9E50-1F4BB95FE519}">
  <dimension ref="A1:B18"/>
  <sheetViews>
    <sheetView workbookViewId="0">
      <selection sqref="A1:B18"/>
    </sheetView>
  </sheetViews>
  <sheetFormatPr defaultRowHeight="14.4" x14ac:dyDescent="0.3"/>
  <sheetData>
    <row r="1" spans="1:2" x14ac:dyDescent="0.3">
      <c r="A1" s="6" t="s">
        <v>22</v>
      </c>
      <c r="B1" s="6"/>
    </row>
    <row r="2" spans="1:2" x14ac:dyDescent="0.3">
      <c r="A2" s="3"/>
      <c r="B2" s="3"/>
    </row>
    <row r="3" spans="1:2" x14ac:dyDescent="0.3">
      <c r="A3" s="3" t="s">
        <v>23</v>
      </c>
      <c r="B3" s="3">
        <v>74.099999999999994</v>
      </c>
    </row>
    <row r="4" spans="1:2" x14ac:dyDescent="0.3">
      <c r="A4" s="3" t="s">
        <v>24</v>
      </c>
      <c r="B4" s="3">
        <v>3.3078057602235997</v>
      </c>
    </row>
    <row r="5" spans="1:2" x14ac:dyDescent="0.3">
      <c r="A5" s="3" t="s">
        <v>25</v>
      </c>
      <c r="B5" s="3">
        <v>73</v>
      </c>
    </row>
    <row r="6" spans="1:2" x14ac:dyDescent="0.3">
      <c r="A6" s="3" t="s">
        <v>26</v>
      </c>
      <c r="B6" s="3">
        <v>66</v>
      </c>
    </row>
    <row r="7" spans="1:2" x14ac:dyDescent="0.3">
      <c r="A7" s="3" t="s">
        <v>9</v>
      </c>
      <c r="B7" s="3">
        <v>14.79295707245068</v>
      </c>
    </row>
    <row r="8" spans="1:2" x14ac:dyDescent="0.3">
      <c r="A8" s="3" t="s">
        <v>27</v>
      </c>
      <c r="B8" s="3">
        <v>218.83157894736857</v>
      </c>
    </row>
    <row r="9" spans="1:2" x14ac:dyDescent="0.3">
      <c r="A9" s="3" t="s">
        <v>28</v>
      </c>
      <c r="B9" s="3">
        <v>-0.83253390654597892</v>
      </c>
    </row>
    <row r="10" spans="1:2" x14ac:dyDescent="0.3">
      <c r="A10" s="3" t="s">
        <v>29</v>
      </c>
      <c r="B10" s="3">
        <v>0.28934122304241883</v>
      </c>
    </row>
    <row r="11" spans="1:2" x14ac:dyDescent="0.3">
      <c r="A11" s="3" t="s">
        <v>30</v>
      </c>
      <c r="B11" s="3">
        <v>49</v>
      </c>
    </row>
    <row r="12" spans="1:2" x14ac:dyDescent="0.3">
      <c r="A12" s="3" t="s">
        <v>31</v>
      </c>
      <c r="B12" s="3">
        <v>51</v>
      </c>
    </row>
    <row r="13" spans="1:2" x14ac:dyDescent="0.3">
      <c r="A13" s="3" t="s">
        <v>32</v>
      </c>
      <c r="B13" s="3">
        <v>100</v>
      </c>
    </row>
    <row r="14" spans="1:2" x14ac:dyDescent="0.3">
      <c r="A14" s="3" t="s">
        <v>33</v>
      </c>
      <c r="B14" s="3">
        <v>1482</v>
      </c>
    </row>
    <row r="15" spans="1:2" x14ac:dyDescent="0.3">
      <c r="A15" s="3" t="s">
        <v>34</v>
      </c>
      <c r="B15" s="3">
        <v>20</v>
      </c>
    </row>
    <row r="16" spans="1:2" x14ac:dyDescent="0.3">
      <c r="A16" s="3" t="s">
        <v>35</v>
      </c>
      <c r="B16" s="3">
        <v>100</v>
      </c>
    </row>
    <row r="17" spans="1:2" x14ac:dyDescent="0.3">
      <c r="A17" s="3" t="s">
        <v>36</v>
      </c>
      <c r="B17" s="3">
        <v>51</v>
      </c>
    </row>
    <row r="18" spans="1:2" ht="15" thickBot="1" x14ac:dyDescent="0.35">
      <c r="A18" s="4" t="s">
        <v>37</v>
      </c>
      <c r="B18" s="4">
        <v>6.923317023458357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8FA14-3E10-40ED-8816-DCA2655E7B7B}">
  <dimension ref="A1:I18"/>
  <sheetViews>
    <sheetView workbookViewId="0">
      <selection sqref="A1:I21"/>
    </sheetView>
  </sheetViews>
  <sheetFormatPr defaultRowHeight="14.4" x14ac:dyDescent="0.3"/>
  <sheetData>
    <row r="1" spans="1:9" x14ac:dyDescent="0.3">
      <c r="A1" t="s">
        <v>38</v>
      </c>
    </row>
    <row r="2" spans="1:9" ht="15" thickBot="1" x14ac:dyDescent="0.35"/>
    <row r="3" spans="1:9" x14ac:dyDescent="0.3">
      <c r="A3" s="6" t="s">
        <v>39</v>
      </c>
      <c r="B3" s="6"/>
    </row>
    <row r="4" spans="1:9" x14ac:dyDescent="0.3">
      <c r="A4" s="3" t="s">
        <v>40</v>
      </c>
      <c r="B4" s="3">
        <v>0.1293186427338516</v>
      </c>
    </row>
    <row r="5" spans="1:9" x14ac:dyDescent="0.3">
      <c r="A5" s="3" t="s">
        <v>41</v>
      </c>
      <c r="B5" s="3">
        <v>1.6723311358525551E-2</v>
      </c>
    </row>
    <row r="6" spans="1:9" x14ac:dyDescent="0.3">
      <c r="A6" s="3" t="s">
        <v>42</v>
      </c>
      <c r="B6" s="3">
        <v>-3.7903171343778588E-2</v>
      </c>
    </row>
    <row r="7" spans="1:9" x14ac:dyDescent="0.3">
      <c r="A7" s="3" t="s">
        <v>24</v>
      </c>
      <c r="B7" s="3">
        <v>15.070699711016744</v>
      </c>
    </row>
    <row r="8" spans="1:9" ht="15" thickBot="1" x14ac:dyDescent="0.35">
      <c r="A8" s="4" t="s">
        <v>43</v>
      </c>
      <c r="B8" s="4">
        <v>20</v>
      </c>
    </row>
    <row r="10" spans="1:9" ht="15" thickBot="1" x14ac:dyDescent="0.35">
      <c r="A10" t="s">
        <v>44</v>
      </c>
    </row>
    <row r="11" spans="1:9" x14ac:dyDescent="0.3">
      <c r="A11" s="5"/>
      <c r="B11" s="5" t="s">
        <v>49</v>
      </c>
      <c r="C11" s="5" t="s">
        <v>50</v>
      </c>
      <c r="D11" s="5" t="s">
        <v>51</v>
      </c>
      <c r="E11" s="5" t="s">
        <v>52</v>
      </c>
      <c r="F11" s="5" t="s">
        <v>53</v>
      </c>
    </row>
    <row r="12" spans="1:9" x14ac:dyDescent="0.3">
      <c r="A12" s="3" t="s">
        <v>45</v>
      </c>
      <c r="B12" s="3">
        <v>1</v>
      </c>
      <c r="C12" s="3">
        <v>69.532183966477533</v>
      </c>
      <c r="D12" s="3">
        <v>69.532183966477533</v>
      </c>
      <c r="E12" s="3">
        <v>0.30613926673005731</v>
      </c>
      <c r="F12" s="3">
        <v>0.586866334328499</v>
      </c>
    </row>
    <row r="13" spans="1:9" x14ac:dyDescent="0.3">
      <c r="A13" s="3" t="s">
        <v>46</v>
      </c>
      <c r="B13" s="3">
        <v>18</v>
      </c>
      <c r="C13" s="3">
        <v>4088.2678160335226</v>
      </c>
      <c r="D13" s="3">
        <v>227.12598977964015</v>
      </c>
      <c r="E13" s="3"/>
      <c r="F13" s="3"/>
    </row>
    <row r="14" spans="1:9" ht="15" thickBot="1" x14ac:dyDescent="0.35">
      <c r="A14" s="4" t="s">
        <v>47</v>
      </c>
      <c r="B14" s="4">
        <v>19</v>
      </c>
      <c r="C14" s="4">
        <v>4157.8</v>
      </c>
      <c r="D14" s="4"/>
      <c r="E14" s="4"/>
      <c r="F14" s="4"/>
    </row>
    <row r="15" spans="1:9" ht="15" thickBot="1" x14ac:dyDescent="0.35"/>
    <row r="16" spans="1:9" x14ac:dyDescent="0.3">
      <c r="A16" s="5"/>
      <c r="B16" s="5" t="s">
        <v>54</v>
      </c>
      <c r="C16" s="5" t="s">
        <v>24</v>
      </c>
      <c r="D16" s="5" t="s">
        <v>55</v>
      </c>
      <c r="E16" s="5" t="s">
        <v>56</v>
      </c>
      <c r="F16" s="5" t="s">
        <v>57</v>
      </c>
      <c r="G16" s="5" t="s">
        <v>58</v>
      </c>
      <c r="H16" s="5" t="s">
        <v>59</v>
      </c>
      <c r="I16" s="5" t="s">
        <v>60</v>
      </c>
    </row>
    <row r="17" spans="1:9" x14ac:dyDescent="0.3">
      <c r="A17" s="3" t="s">
        <v>48</v>
      </c>
      <c r="B17" s="3">
        <v>69.82395660099202</v>
      </c>
      <c r="C17" s="3">
        <v>8.431046135586973</v>
      </c>
      <c r="D17" s="3">
        <v>8.2817666370332166</v>
      </c>
      <c r="E17" s="3">
        <v>1.491722988747732E-7</v>
      </c>
      <c r="F17" s="3">
        <v>52.110985952448317</v>
      </c>
      <c r="G17" s="3">
        <v>87.536927249535722</v>
      </c>
      <c r="H17" s="3">
        <v>52.110985952448317</v>
      </c>
      <c r="I17" s="3">
        <v>87.536927249535722</v>
      </c>
    </row>
    <row r="18" spans="1:9" ht="15" thickBot="1" x14ac:dyDescent="0.35">
      <c r="A18" s="4" t="s">
        <v>61</v>
      </c>
      <c r="B18" s="4">
        <v>1.0049455696846015</v>
      </c>
      <c r="C18" s="4">
        <v>1.8162809217205775</v>
      </c>
      <c r="D18" s="4">
        <v>0.55329853309949895</v>
      </c>
      <c r="E18" s="4">
        <v>0.586866334328499</v>
      </c>
      <c r="F18" s="4">
        <v>-2.8109190500274668</v>
      </c>
      <c r="G18" s="4">
        <v>4.8208101893966697</v>
      </c>
      <c r="H18" s="4">
        <v>-2.8109190500274668</v>
      </c>
      <c r="I18" s="4">
        <v>4.8208101893966697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F26" sqref="F2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>
        <v>68</v>
      </c>
      <c r="D2">
        <v>4.0999999999999996</v>
      </c>
      <c r="E2">
        <f>AVERAGE(C2:C21)</f>
        <v>74.099999999999994</v>
      </c>
      <c r="F2">
        <f>MEDIAN(C2:C21)</f>
        <v>73</v>
      </c>
      <c r="G2">
        <f>MODE(C2:C21)</f>
        <v>66</v>
      </c>
      <c r="H2">
        <f>MAX(C2:C21)-MIN(C2:C21)</f>
        <v>49</v>
      </c>
      <c r="I2">
        <f>VAR(C2:C21)</f>
        <v>218.83157894736857</v>
      </c>
      <c r="J2">
        <f>STDEV(C2:C21)</f>
        <v>14.79295707245068</v>
      </c>
      <c r="K2">
        <f>CORREL(C2:C21,D2:D21)</f>
        <v>0.12931864273385163</v>
      </c>
    </row>
    <row r="3" spans="1:11" x14ac:dyDescent="0.3">
      <c r="A3">
        <v>2</v>
      </c>
      <c r="B3" t="s">
        <v>12</v>
      </c>
      <c r="C3">
        <v>71</v>
      </c>
      <c r="D3">
        <v>4.2</v>
      </c>
      <c r="E3">
        <f>AVERAGE(C2:C21)</f>
        <v>74.099999999999994</v>
      </c>
      <c r="F3">
        <f>MEDIAN(C2:C21)</f>
        <v>73</v>
      </c>
      <c r="G3">
        <f>MODE(C2:C21)</f>
        <v>66</v>
      </c>
      <c r="H3">
        <f>MAX(C2:C21)-MIN(C2:C21)</f>
        <v>49</v>
      </c>
      <c r="I3">
        <f>VAR(C2:C21)</f>
        <v>218.83157894736857</v>
      </c>
      <c r="J3">
        <f>STDEV(C2:C21)</f>
        <v>14.79295707245068</v>
      </c>
      <c r="K3">
        <f>CORREL(C2:C21,D2:D21)</f>
        <v>0.12931864273385163</v>
      </c>
    </row>
    <row r="4" spans="1:11" x14ac:dyDescent="0.3">
      <c r="A4">
        <v>3</v>
      </c>
      <c r="B4" t="s">
        <v>13</v>
      </c>
      <c r="C4">
        <v>75</v>
      </c>
      <c r="D4">
        <v>7.7</v>
      </c>
      <c r="E4">
        <f>AVERAGE(C2:C21)</f>
        <v>74.099999999999994</v>
      </c>
      <c r="F4">
        <f>MEDIAN(C2:C21)</f>
        <v>73</v>
      </c>
      <c r="G4">
        <f>MODE(C2:C21)</f>
        <v>66</v>
      </c>
      <c r="H4">
        <f>MAX(C2:C21)-MIN(C2:C21)</f>
        <v>49</v>
      </c>
      <c r="I4">
        <f>VAR(C2:C21)</f>
        <v>218.83157894736857</v>
      </c>
      <c r="J4">
        <f>STDEV(C2:C21)</f>
        <v>14.79295707245068</v>
      </c>
      <c r="K4">
        <f>CORREL(C2:C21,D2:D21)</f>
        <v>0.12931864273385163</v>
      </c>
    </row>
    <row r="5" spans="1:11" x14ac:dyDescent="0.3">
      <c r="A5">
        <v>4</v>
      </c>
      <c r="B5" t="s">
        <v>11</v>
      </c>
      <c r="C5">
        <v>95</v>
      </c>
      <c r="D5">
        <v>6.3</v>
      </c>
      <c r="E5">
        <f>AVERAGE(C2:C21)</f>
        <v>74.099999999999994</v>
      </c>
      <c r="F5">
        <f>MEDIAN(C2:C21)</f>
        <v>73</v>
      </c>
      <c r="G5">
        <f>MODE(C2:C21)</f>
        <v>66</v>
      </c>
      <c r="H5">
        <f>MAX(C2:C21)-MIN(C2:C21)</f>
        <v>49</v>
      </c>
      <c r="I5">
        <f>VAR(C2:C21)</f>
        <v>218.83157894736857</v>
      </c>
      <c r="J5">
        <f>STDEV(C2:C21)</f>
        <v>14.79295707245068</v>
      </c>
      <c r="K5">
        <f>CORREL(C2:C21,D2:D21)</f>
        <v>0.12931864273385163</v>
      </c>
    </row>
    <row r="6" spans="1:11" x14ac:dyDescent="0.3">
      <c r="A6">
        <v>5</v>
      </c>
      <c r="B6" t="s">
        <v>14</v>
      </c>
      <c r="C6">
        <v>66</v>
      </c>
      <c r="D6">
        <v>2.5</v>
      </c>
      <c r="E6">
        <f>AVERAGE(C2:C21)</f>
        <v>74.099999999999994</v>
      </c>
      <c r="F6">
        <f>MEDIAN(C2:C21)</f>
        <v>73</v>
      </c>
      <c r="G6">
        <f>MODE(C2:C21)</f>
        <v>66</v>
      </c>
      <c r="H6">
        <f>MAX(C2:C21)-MIN(C2:C21)</f>
        <v>49</v>
      </c>
      <c r="I6">
        <f>VAR(C2:C21)</f>
        <v>218.83157894736857</v>
      </c>
      <c r="J6">
        <f>STDEV(C2:C21)</f>
        <v>14.79295707245068</v>
      </c>
      <c r="K6">
        <f>CORREL(C2:C21,D2:D21)</f>
        <v>0.12931864273385163</v>
      </c>
    </row>
    <row r="7" spans="1:11" x14ac:dyDescent="0.3">
      <c r="A7">
        <v>6</v>
      </c>
      <c r="B7" t="s">
        <v>12</v>
      </c>
      <c r="C7">
        <v>65</v>
      </c>
      <c r="D7">
        <v>3.8</v>
      </c>
      <c r="E7">
        <f>AVERAGE(C2:C21)</f>
        <v>74.099999999999994</v>
      </c>
      <c r="F7">
        <f>MEDIAN(C2:C21)</f>
        <v>73</v>
      </c>
      <c r="G7">
        <f>MODE(C2:C21)</f>
        <v>66</v>
      </c>
      <c r="H7">
        <f>MAX(C2:C21)-MIN(C2:C21)</f>
        <v>49</v>
      </c>
      <c r="I7">
        <f>VAR(C2:C21)</f>
        <v>218.83157894736857</v>
      </c>
      <c r="J7">
        <f>STDEV(C2:C21)</f>
        <v>14.79295707245068</v>
      </c>
      <c r="K7">
        <f>CORREL(C2:C21,D2:D21)</f>
        <v>0.12931864273385163</v>
      </c>
    </row>
    <row r="8" spans="1:11" x14ac:dyDescent="0.3">
      <c r="A8">
        <v>7</v>
      </c>
      <c r="B8" t="s">
        <v>15</v>
      </c>
      <c r="C8">
        <v>53</v>
      </c>
      <c r="D8">
        <v>6.2</v>
      </c>
      <c r="E8">
        <f>AVERAGE(C2:C21)</f>
        <v>74.099999999999994</v>
      </c>
      <c r="F8">
        <f>MEDIAN(C2:C21)</f>
        <v>73</v>
      </c>
      <c r="G8">
        <f>MODE(C2:C21)</f>
        <v>66</v>
      </c>
      <c r="H8">
        <f>MAX(C2:C21)-MIN(C2:C21)</f>
        <v>49</v>
      </c>
      <c r="I8">
        <f>VAR(C2:C21)</f>
        <v>218.83157894736857</v>
      </c>
      <c r="J8">
        <f>STDEV(C2:C21)</f>
        <v>14.79295707245068</v>
      </c>
      <c r="K8">
        <f>CORREL(C2:C21,D2:D21)</f>
        <v>0.12931864273385163</v>
      </c>
    </row>
    <row r="9" spans="1:11" x14ac:dyDescent="0.3">
      <c r="A9">
        <v>8</v>
      </c>
      <c r="B9" t="s">
        <v>16</v>
      </c>
      <c r="C9">
        <v>60</v>
      </c>
      <c r="D9">
        <v>5.6</v>
      </c>
      <c r="E9">
        <f>AVERAGE(C2:C21)</f>
        <v>74.099999999999994</v>
      </c>
      <c r="F9">
        <f>MEDIAN(C2:C21)</f>
        <v>73</v>
      </c>
      <c r="G9">
        <f>MODE(C2:C21)</f>
        <v>66</v>
      </c>
      <c r="H9">
        <f>MAX(C2:C21)-MIN(C2:C21)</f>
        <v>49</v>
      </c>
      <c r="I9">
        <f>VAR(C2:C21)</f>
        <v>218.83157894736857</v>
      </c>
      <c r="J9">
        <f>STDEV(C2:C21)</f>
        <v>14.79295707245068</v>
      </c>
      <c r="K9">
        <f>CORREL(C2:C21,D2:D21)</f>
        <v>0.12931864273385163</v>
      </c>
    </row>
    <row r="10" spans="1:11" x14ac:dyDescent="0.3">
      <c r="A10">
        <v>9</v>
      </c>
      <c r="B10" t="s">
        <v>11</v>
      </c>
      <c r="C10">
        <v>86</v>
      </c>
      <c r="D10">
        <v>5.5</v>
      </c>
      <c r="E10">
        <f>AVERAGE(C2:C21)</f>
        <v>74.099999999999994</v>
      </c>
      <c r="F10">
        <f>MEDIAN(C2:C21)</f>
        <v>73</v>
      </c>
      <c r="G10">
        <f>MODE(C2:C21)</f>
        <v>66</v>
      </c>
      <c r="H10">
        <f>MAX(C2:C21)-MIN(C2:C21)</f>
        <v>49</v>
      </c>
      <c r="I10">
        <f>VAR(C2:C21)</f>
        <v>218.83157894736857</v>
      </c>
      <c r="J10">
        <f>STDEV(C2:C21)</f>
        <v>14.79295707245068</v>
      </c>
      <c r="K10">
        <f>CORREL(C2:C21,D2:D21)</f>
        <v>0.12931864273385163</v>
      </c>
    </row>
    <row r="11" spans="1:11" x14ac:dyDescent="0.3">
      <c r="A11">
        <v>10</v>
      </c>
      <c r="B11" t="s">
        <v>15</v>
      </c>
      <c r="C11">
        <v>79</v>
      </c>
      <c r="D11">
        <v>3.8</v>
      </c>
      <c r="E11">
        <f>AVERAGE(C2:C21)</f>
        <v>74.099999999999994</v>
      </c>
      <c r="F11">
        <f>MEDIAN(C2:C21)</f>
        <v>73</v>
      </c>
      <c r="G11">
        <f>MODE(C2:C21)</f>
        <v>66</v>
      </c>
      <c r="H11">
        <f>MAX(C2:C21)-MIN(C2:C21)</f>
        <v>49</v>
      </c>
      <c r="I11">
        <f>VAR(C2:C21)</f>
        <v>218.83157894736857</v>
      </c>
      <c r="J11">
        <f>STDEV(C2:C21)</f>
        <v>14.79295707245068</v>
      </c>
      <c r="K11">
        <f>CORREL(C2:C21,D2:D21)</f>
        <v>0.12931864273385163</v>
      </c>
    </row>
    <row r="12" spans="1:11" x14ac:dyDescent="0.3">
      <c r="A12">
        <v>11</v>
      </c>
      <c r="B12" t="s">
        <v>16</v>
      </c>
      <c r="C12">
        <v>64</v>
      </c>
      <c r="D12">
        <v>3.3</v>
      </c>
      <c r="E12">
        <f>AVERAGE(C2:C21)</f>
        <v>74.099999999999994</v>
      </c>
      <c r="F12">
        <f>MEDIAN(C2:C21)</f>
        <v>73</v>
      </c>
      <c r="G12">
        <f>MODE(C2:C21)</f>
        <v>66</v>
      </c>
      <c r="H12">
        <f>MAX(C2:C21)-MIN(C2:C21)</f>
        <v>49</v>
      </c>
      <c r="I12">
        <f>VAR(C2:C21)</f>
        <v>218.83157894736857</v>
      </c>
      <c r="J12">
        <f>STDEV(C2:C21)</f>
        <v>14.79295707245068</v>
      </c>
      <c r="K12">
        <f>CORREL(C2:C21,D2:D21)</f>
        <v>0.12931864273385163</v>
      </c>
    </row>
    <row r="13" spans="1:11" x14ac:dyDescent="0.3">
      <c r="A13">
        <v>12</v>
      </c>
      <c r="B13" t="s">
        <v>16</v>
      </c>
      <c r="C13">
        <v>84</v>
      </c>
      <c r="D13">
        <v>3.9</v>
      </c>
      <c r="E13">
        <f>AVERAGE(C2:C21)</f>
        <v>74.099999999999994</v>
      </c>
      <c r="F13">
        <f>MEDIAN(C2:C21)</f>
        <v>73</v>
      </c>
      <c r="G13">
        <f>MODE(C2:C21)</f>
        <v>66</v>
      </c>
      <c r="H13">
        <f>MAX(C2:C21)-MIN(C2:C21)</f>
        <v>49</v>
      </c>
      <c r="I13">
        <f>VAR(C2:C21)</f>
        <v>218.83157894736857</v>
      </c>
      <c r="J13">
        <f>STDEV(C2:C21)</f>
        <v>14.79295707245068</v>
      </c>
      <c r="K13">
        <f>CORREL(C2:C21,D2:D21)</f>
        <v>0.12931864273385163</v>
      </c>
    </row>
    <row r="14" spans="1:11" x14ac:dyDescent="0.3">
      <c r="A14">
        <v>13</v>
      </c>
      <c r="B14" t="s">
        <v>17</v>
      </c>
      <c r="C14">
        <v>99</v>
      </c>
      <c r="D14">
        <v>7.2</v>
      </c>
      <c r="E14">
        <f>AVERAGE(C2:C21)</f>
        <v>74.099999999999994</v>
      </c>
      <c r="F14">
        <f>MEDIAN(C2:C21)</f>
        <v>73</v>
      </c>
      <c r="G14">
        <f>MODE(C2:C21)</f>
        <v>66</v>
      </c>
      <c r="H14">
        <f>MAX(C2:C21)-MIN(C2:C21)</f>
        <v>49</v>
      </c>
      <c r="I14">
        <f>VAR(C2:C21)</f>
        <v>218.83157894736857</v>
      </c>
      <c r="J14">
        <f>STDEV(C2:C21)</f>
        <v>14.79295707245068</v>
      </c>
      <c r="K14">
        <f>CORREL(C2:C21,D2:D21)</f>
        <v>0.12931864273385163</v>
      </c>
    </row>
    <row r="15" spans="1:11" x14ac:dyDescent="0.3">
      <c r="A15">
        <v>14</v>
      </c>
      <c r="B15" t="s">
        <v>18</v>
      </c>
      <c r="C15">
        <v>76</v>
      </c>
      <c r="D15">
        <v>6.9</v>
      </c>
      <c r="E15">
        <f>AVERAGE(C2:C21)</f>
        <v>74.099999999999994</v>
      </c>
      <c r="F15">
        <f>MEDIAN(C2:C21)</f>
        <v>73</v>
      </c>
      <c r="G15">
        <f>MODE(C2:C21)</f>
        <v>66</v>
      </c>
      <c r="H15">
        <f>MAX(C2:C21)-MIN(C2:C21)</f>
        <v>49</v>
      </c>
      <c r="I15">
        <f>VAR(C2:C21)</f>
        <v>218.83157894736857</v>
      </c>
      <c r="J15">
        <f>STDEV(C2:C21)</f>
        <v>14.79295707245068</v>
      </c>
      <c r="K15">
        <f>CORREL(C2:C21,D2:D21)</f>
        <v>0.12931864273385163</v>
      </c>
    </row>
    <row r="16" spans="1:11" x14ac:dyDescent="0.3">
      <c r="A16">
        <v>15</v>
      </c>
      <c r="B16" t="s">
        <v>19</v>
      </c>
      <c r="C16">
        <v>91</v>
      </c>
      <c r="D16">
        <v>1.3</v>
      </c>
      <c r="E16">
        <f>AVERAGE(C2:C21)</f>
        <v>74.099999999999994</v>
      </c>
      <c r="F16">
        <f>MEDIAN(C2:C21)</f>
        <v>73</v>
      </c>
      <c r="G16">
        <f>MODE(C2:C21)</f>
        <v>66</v>
      </c>
      <c r="H16">
        <f>MAX(C2:C21)-MIN(C2:C21)</f>
        <v>49</v>
      </c>
      <c r="I16">
        <f>VAR(C2:C21)</f>
        <v>218.83157894736857</v>
      </c>
      <c r="J16">
        <f>STDEV(C2:C21)</f>
        <v>14.79295707245068</v>
      </c>
      <c r="K16">
        <f>CORREL(C2:C21,D2:D21)</f>
        <v>0.12931864273385163</v>
      </c>
    </row>
    <row r="17" spans="1:11" x14ac:dyDescent="0.3">
      <c r="A17">
        <v>16</v>
      </c>
      <c r="B17" t="s">
        <v>17</v>
      </c>
      <c r="C17">
        <v>77</v>
      </c>
      <c r="D17">
        <v>1.4</v>
      </c>
      <c r="E17">
        <f>AVERAGE(C2:C21)</f>
        <v>74.099999999999994</v>
      </c>
      <c r="F17">
        <f>MEDIAN(C2:C21)</f>
        <v>73</v>
      </c>
      <c r="G17">
        <f>MODE(C2:C21)</f>
        <v>66</v>
      </c>
      <c r="H17">
        <f>MAX(C2:C21)-MIN(C2:C21)</f>
        <v>49</v>
      </c>
      <c r="I17">
        <f>VAR(C2:C21)</f>
        <v>218.83157894736857</v>
      </c>
      <c r="J17">
        <f>STDEV(C2:C21)</f>
        <v>14.79295707245068</v>
      </c>
      <c r="K17">
        <f>CORREL(C2:C21,D2:D21)</f>
        <v>0.12931864273385163</v>
      </c>
    </row>
    <row r="18" spans="1:11" x14ac:dyDescent="0.3">
      <c r="A18">
        <v>17</v>
      </c>
      <c r="B18" t="s">
        <v>20</v>
      </c>
      <c r="C18">
        <v>100</v>
      </c>
      <c r="D18">
        <v>2.7</v>
      </c>
      <c r="E18">
        <f>AVERAGE(C2:C21)</f>
        <v>74.099999999999994</v>
      </c>
      <c r="F18">
        <f>MEDIAN(C2:C21)</f>
        <v>73</v>
      </c>
      <c r="G18">
        <f>MODE(C2:C21)</f>
        <v>66</v>
      </c>
      <c r="H18">
        <f>MAX(C2:C21)-MIN(C2:C21)</f>
        <v>49</v>
      </c>
      <c r="I18">
        <f>VAR(C2:C21)</f>
        <v>218.83157894736857</v>
      </c>
      <c r="J18">
        <f>STDEV(C2:C21)</f>
        <v>14.79295707245068</v>
      </c>
      <c r="K18">
        <f>CORREL(C2:C21,D2:D21)</f>
        <v>0.12931864273385163</v>
      </c>
    </row>
    <row r="19" spans="1:11" x14ac:dyDescent="0.3">
      <c r="A19">
        <v>18</v>
      </c>
      <c r="B19" t="s">
        <v>17</v>
      </c>
      <c r="C19">
        <v>66</v>
      </c>
      <c r="D19">
        <v>3</v>
      </c>
      <c r="E19">
        <f>AVERAGE(C2:C21)</f>
        <v>74.099999999999994</v>
      </c>
      <c r="F19">
        <f>MEDIAN(C2:C21)</f>
        <v>73</v>
      </c>
      <c r="G19">
        <f>MODE(C2:C21)</f>
        <v>66</v>
      </c>
      <c r="H19">
        <f>MAX(C2:C21)-MIN(C2:C21)</f>
        <v>49</v>
      </c>
      <c r="I19">
        <f>VAR(C2:C21)</f>
        <v>218.83157894736857</v>
      </c>
      <c r="J19">
        <f>STDEV(C2:C21)</f>
        <v>14.79295707245068</v>
      </c>
      <c r="K19">
        <f>CORREL(C2:C21,D2:D21)</f>
        <v>0.12931864273385163</v>
      </c>
    </row>
    <row r="20" spans="1:11" x14ac:dyDescent="0.3">
      <c r="A20">
        <v>19</v>
      </c>
      <c r="B20" t="s">
        <v>15</v>
      </c>
      <c r="C20">
        <v>56</v>
      </c>
      <c r="D20">
        <v>2.2999999999999998</v>
      </c>
      <c r="E20">
        <f>AVERAGE(C2:C21)</f>
        <v>74.099999999999994</v>
      </c>
      <c r="F20">
        <f>MEDIAN(C2:C21)</f>
        <v>73</v>
      </c>
      <c r="G20">
        <f>MODE(C2:C21)</f>
        <v>66</v>
      </c>
      <c r="H20">
        <f>MAX(C2:C21)-MIN(C2:C21)</f>
        <v>49</v>
      </c>
      <c r="I20">
        <f>VAR(C2:C21)</f>
        <v>218.83157894736857</v>
      </c>
      <c r="J20">
        <f>STDEV(C2:C21)</f>
        <v>14.79295707245068</v>
      </c>
      <c r="K20">
        <f>CORREL(C2:C21,D2:D21)</f>
        <v>0.12931864273385163</v>
      </c>
    </row>
    <row r="21" spans="1:11" x14ac:dyDescent="0.3">
      <c r="A21">
        <v>20</v>
      </c>
      <c r="B21" t="s">
        <v>14</v>
      </c>
      <c r="C21">
        <v>51</v>
      </c>
      <c r="D21">
        <v>3.4</v>
      </c>
      <c r="E21">
        <f>AVERAGE(C2:C21)</f>
        <v>74.099999999999994</v>
      </c>
      <c r="F21">
        <f>MEDIAN(C2:C21)</f>
        <v>73</v>
      </c>
      <c r="G21">
        <f>MODE(C2:C21)</f>
        <v>66</v>
      </c>
      <c r="H21">
        <f>MAX(C2:C21)-MIN(C2:C21)</f>
        <v>49</v>
      </c>
      <c r="I21">
        <f>VAR(C2:C21)</f>
        <v>218.83157894736857</v>
      </c>
      <c r="J21">
        <f>STDEV(C2:C21)</f>
        <v>14.79295707245068</v>
      </c>
      <c r="K21">
        <f>CORREL(C2:C21,D2:D21)</f>
        <v>0.12931864273385163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Sheet4</vt:lpstr>
      <vt:lpstr>Sheet5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Mohan Krishna</cp:lastModifiedBy>
  <dcterms:created xsi:type="dcterms:W3CDTF">2026-05-27T01:38:11Z</dcterms:created>
  <dcterms:modified xsi:type="dcterms:W3CDTF">2026-05-27T03:01:27Z</dcterms:modified>
</cp:coreProperties>
</file>