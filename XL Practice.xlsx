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BB497744-15D0-4AA4-A6B9-A9B43055C6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2" sheetId="3" r:id="rId1"/>
    <sheet name="Sheet3" sheetId="4" r:id="rId2"/>
    <sheet name="Sheet4" sheetId="5" r:id="rId3"/>
    <sheet name="Student Study Dataset" sheetId="1" r:id="rId4"/>
    <sheet name="Sheet1" sheetId="2" r:id="rId5"/>
  </sheets>
  <definedNames>
    <definedName name="_xlchart.v1.0" hidden="1">'Student Study Dataset'!$C$1</definedName>
    <definedName name="_xlchart.v1.1" hidden="1">'Student Study Dataset'!$C$10</definedName>
    <definedName name="_xlchart.v1.10" hidden="1">'Student Study Dataset'!$C$19</definedName>
    <definedName name="_xlchart.v1.11" hidden="1">'Student Study Dataset'!$C$2</definedName>
    <definedName name="_xlchart.v1.12" hidden="1">'Student Study Dataset'!$C$20</definedName>
    <definedName name="_xlchart.v1.13" hidden="1">'Student Study Dataset'!$C$21</definedName>
    <definedName name="_xlchart.v1.14" hidden="1">'Student Study Dataset'!$C$3</definedName>
    <definedName name="_xlchart.v1.15" hidden="1">'Student Study Dataset'!$C$4</definedName>
    <definedName name="_xlchart.v1.16" hidden="1">'Student Study Dataset'!$C$5</definedName>
    <definedName name="_xlchart.v1.17" hidden="1">'Student Study Dataset'!$C$6</definedName>
    <definedName name="_xlchart.v1.18" hidden="1">'Student Study Dataset'!$C$7</definedName>
    <definedName name="_xlchart.v1.19" hidden="1">'Student Study Dataset'!$C$8</definedName>
    <definedName name="_xlchart.v1.2" hidden="1">'Student Study Dataset'!$C$11</definedName>
    <definedName name="_xlchart.v1.20" hidden="1">'Student Study Dataset'!$C$9</definedName>
    <definedName name="_xlchart.v1.3" hidden="1">'Student Study Dataset'!$C$12</definedName>
    <definedName name="_xlchart.v1.4" hidden="1">'Student Study Dataset'!$C$13</definedName>
    <definedName name="_xlchart.v1.5" hidden="1">'Student Study Dataset'!$C$14</definedName>
    <definedName name="_xlchart.v1.6" hidden="1">'Student Study Dataset'!$C$15</definedName>
    <definedName name="_xlchart.v1.7" hidden="1">'Student Study Dataset'!$C$16</definedName>
    <definedName name="_xlchart.v1.8" hidden="1">'Student Study Dataset'!$C$17</definedName>
    <definedName name="_xlchart.v1.9" hidden="1">'Student Study Dataset'!$C$18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K2" i="1"/>
  <c r="J2" i="1"/>
  <c r="I2" i="1"/>
  <c r="G2" i="1"/>
  <c r="H2" i="1"/>
</calcChain>
</file>

<file path=xl/sharedStrings.xml><?xml version="1.0" encoding="utf-8"?>
<sst xmlns="http://schemas.openxmlformats.org/spreadsheetml/2006/main" count="103" uniqueCount="74">
  <si>
    <t>Student_ID</t>
  </si>
  <si>
    <t>Student_Name</t>
  </si>
  <si>
    <t>Marks</t>
  </si>
  <si>
    <t>Study_Hours_Per_Day</t>
  </si>
  <si>
    <t>Keerthi Rao</t>
  </si>
  <si>
    <t>Aditya Verma</t>
  </si>
  <si>
    <t>Priya Kumar</t>
  </si>
  <si>
    <t>Varun Sharma</t>
  </si>
  <si>
    <t>Sneha Singh</t>
  </si>
  <si>
    <t>Priya Yadav</t>
  </si>
  <si>
    <t>Pooja Patel</t>
  </si>
  <si>
    <t>Ananya Gupta</t>
  </si>
  <si>
    <t>Aarav Rao</t>
  </si>
  <si>
    <t>Sai Rao</t>
  </si>
  <si>
    <t>Varun Verma</t>
  </si>
  <si>
    <t>Aarav Verma</t>
  </si>
  <si>
    <t>Vivaan Sharma</t>
  </si>
  <si>
    <t>Teja Naidu</t>
  </si>
  <si>
    <t>Vivaan Gupta</t>
  </si>
  <si>
    <t>Aditya Naidu</t>
  </si>
  <si>
    <t>Aarav Reddy</t>
  </si>
  <si>
    <t>Vivaan Rao</t>
  </si>
  <si>
    <t>Diya Rao</t>
  </si>
  <si>
    <t>MEAN</t>
  </si>
  <si>
    <t>MEDIAN</t>
  </si>
  <si>
    <t>MODE</t>
  </si>
  <si>
    <t>RANGE</t>
  </si>
  <si>
    <t>VARIANCE</t>
  </si>
  <si>
    <t>Standard Deviation</t>
  </si>
  <si>
    <t>CORRELATION</t>
  </si>
  <si>
    <t xml:space="preserve"> 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</si>
  <si>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</si>
  <si>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</si>
  <si>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</si>
  <si>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</si>
  <si>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</si>
  <si>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</si>
  <si>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</si>
  <si>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</si>
  <si>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</si>
  <si>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</si>
  <si>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</si>
  <si>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</si>
  <si>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</si>
  <si>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</si>
  <si>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</si>
  <si>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</si>
  <si>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</si>
  <si>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</si>
  <si>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</si>
  <si>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</si>
  <si>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</si>
  <si>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</si>
  <si>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</si>
  <si>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</si>
  <si>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</si>
  <si>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</si>
  <si>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</si>
  <si>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</si>
  <si>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</si>
  <si>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</si>
  <si>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</si>
  <si>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</si>
  <si>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</si>
  <si>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</si>
  <si>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</si>
  <si>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</si>
  <si>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</si>
  <si>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68</t>
  </si>
  <si>
    <t>Residuals</t>
  </si>
  <si>
    <t>Standard Residuals</t>
  </si>
  <si>
    <t>PROBABILITY OUTPUT</t>
  </si>
  <si>
    <t>Percentile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</si>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</sst>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1.1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'Student Study Dataset'!$D$3:$D$21</c:f>
              <c:numCache>
                <c:formatCode>General</c:formatCode>
                <c:ptCount val="19"/>
                <c:pt idx="0">
                  <c:v>6.6</c:v>
                </c:pt>
                <c:pt idx="1">
                  <c:v>2.2999999999999998</c:v>
                </c:pt>
                <c:pt idx="2">
                  <c:v>7.8</c:v>
                </c:pt>
                <c:pt idx="3">
                  <c:v>1.1000000000000001</c:v>
                </c:pt>
                <c:pt idx="4">
                  <c:v>4.5</c:v>
                </c:pt>
                <c:pt idx="5">
                  <c:v>5.3</c:v>
                </c:pt>
                <c:pt idx="6">
                  <c:v>7.9</c:v>
                </c:pt>
                <c:pt idx="7">
                  <c:v>4.5</c:v>
                </c:pt>
                <c:pt idx="8">
                  <c:v>9.6</c:v>
                </c:pt>
                <c:pt idx="9">
                  <c:v>7.5</c:v>
                </c:pt>
                <c:pt idx="10">
                  <c:v>3.7</c:v>
                </c:pt>
                <c:pt idx="11">
                  <c:v>7.9</c:v>
                </c:pt>
                <c:pt idx="12">
                  <c:v>8.4</c:v>
                </c:pt>
                <c:pt idx="13">
                  <c:v>1.8</c:v>
                </c:pt>
                <c:pt idx="14">
                  <c:v>9.8000000000000007</c:v>
                </c:pt>
                <c:pt idx="15">
                  <c:v>9.1</c:v>
                </c:pt>
                <c:pt idx="16">
                  <c:v>9.1999999999999993</c:v>
                </c:pt>
                <c:pt idx="17">
                  <c:v>6.7</c:v>
                </c:pt>
                <c:pt idx="18">
                  <c:v>3.8</c:v>
                </c:pt>
              </c:numCache>
            </c:numRef>
          </c:xVal>
          <c:yVal>
            <c:numRef>
              <c:f>Sheet4!$C$25:$C$43</c:f>
              <c:numCache>
                <c:formatCode>General</c:formatCode>
                <c:ptCount val="19"/>
                <c:pt idx="0">
                  <c:v>-3.9365188398190867</c:v>
                </c:pt>
                <c:pt idx="1">
                  <c:v>9.4196316934998379</c:v>
                </c:pt>
                <c:pt idx="2">
                  <c:v>32.91757868576633</c:v>
                </c:pt>
                <c:pt idx="3">
                  <c:v>-25.434465832085579</c:v>
                </c:pt>
                <c:pt idx="4">
                  <c:v>23.818810490406435</c:v>
                </c:pt>
                <c:pt idx="5">
                  <c:v>5.0548755074633789</c:v>
                </c:pt>
                <c:pt idx="6">
                  <c:v>-28.927913187101552</c:v>
                </c:pt>
                <c:pt idx="7">
                  <c:v>0.81881049040643461</c:v>
                </c:pt>
                <c:pt idx="8">
                  <c:v>22.698724974144447</c:v>
                </c:pt>
                <c:pt idx="9">
                  <c:v>-22.545945695630024</c:v>
                </c:pt>
                <c:pt idx="10">
                  <c:v>-19.41725452665051</c:v>
                </c:pt>
                <c:pt idx="11">
                  <c:v>-3.9279131871015522</c:v>
                </c:pt>
                <c:pt idx="12">
                  <c:v>13.844627448559038</c:v>
                </c:pt>
                <c:pt idx="13">
                  <c:v>4.6470910578392477</c:v>
                </c:pt>
                <c:pt idx="14">
                  <c:v>-10.99225877159131</c:v>
                </c:pt>
                <c:pt idx="15">
                  <c:v>-17.073815661516136</c:v>
                </c:pt>
                <c:pt idx="16">
                  <c:v>8.0692465615975095E-2</c:v>
                </c:pt>
                <c:pt idx="17">
                  <c:v>-4.7820107126869686</c:v>
                </c:pt>
                <c:pt idx="18">
                  <c:v>23.737253600481608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41-4318-9CA9-05152C44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5583"/>
        <c:axId val="192832863"/>
      </c:scatterChart>
      <c:valAx>
        <c:axId val="19281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1.1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32863"/>
        <c:crosses val="autoZero"/>
        <c:crossBetween val="midCat"/>
      </c:valAx>
      <c:valAx>
        <c:axId val="192832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155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1.1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'Student Study Dataset'!$D$3:$D$21</c:f>
              <c:numCache>
                <c:formatCode>General</c:formatCode>
                <c:ptCount val="19"/>
                <c:pt idx="0">
                  <c:v>6.6</c:v>
                </c:pt>
                <c:pt idx="1">
                  <c:v>2.2999999999999998</c:v>
                </c:pt>
                <c:pt idx="2">
                  <c:v>7.8</c:v>
                </c:pt>
                <c:pt idx="3">
                  <c:v>1.1000000000000001</c:v>
                </c:pt>
                <c:pt idx="4">
                  <c:v>4.5</c:v>
                </c:pt>
                <c:pt idx="5">
                  <c:v>5.3</c:v>
                </c:pt>
                <c:pt idx="6">
                  <c:v>7.9</c:v>
                </c:pt>
                <c:pt idx="7">
                  <c:v>4.5</c:v>
                </c:pt>
                <c:pt idx="8">
                  <c:v>9.6</c:v>
                </c:pt>
                <c:pt idx="9">
                  <c:v>7.5</c:v>
                </c:pt>
                <c:pt idx="10">
                  <c:v>3.7</c:v>
                </c:pt>
                <c:pt idx="11">
                  <c:v>7.9</c:v>
                </c:pt>
                <c:pt idx="12">
                  <c:v>8.4</c:v>
                </c:pt>
                <c:pt idx="13">
                  <c:v>1.8</c:v>
                </c:pt>
                <c:pt idx="14">
                  <c:v>9.8000000000000007</c:v>
                </c:pt>
                <c:pt idx="15">
                  <c:v>9.1</c:v>
                </c:pt>
                <c:pt idx="16">
                  <c:v>9.1999999999999993</c:v>
                </c:pt>
                <c:pt idx="17">
                  <c:v>6.7</c:v>
                </c:pt>
                <c:pt idx="18">
                  <c:v>3.8</c:v>
                </c:pt>
              </c:numCache>
            </c:numRef>
          </c:xVal>
          <c:yVal>
            <c:numRef>
              <c:f>'Student Study Dataset'!$C$3:$C$21</c:f>
              <c:numCache>
                <c:formatCode>General</c:formatCode>
                <c:ptCount val="19"/>
                <c:pt idx="0">
                  <c:v>64</c:v>
                </c:pt>
                <c:pt idx="1">
                  <c:v>84</c:v>
                </c:pt>
                <c:pt idx="2">
                  <c:v>99</c:v>
                </c:pt>
                <c:pt idx="3">
                  <c:v>51</c:v>
                </c:pt>
                <c:pt idx="4">
                  <c:v>95</c:v>
                </c:pt>
                <c:pt idx="5">
                  <c:v>75</c:v>
                </c:pt>
                <c:pt idx="6">
                  <c:v>37</c:v>
                </c:pt>
                <c:pt idx="7">
                  <c:v>72</c:v>
                </c:pt>
                <c:pt idx="8">
                  <c:v>86</c:v>
                </c:pt>
                <c:pt idx="9">
                  <c:v>44</c:v>
                </c:pt>
                <c:pt idx="10">
                  <c:v>53</c:v>
                </c:pt>
                <c:pt idx="11">
                  <c:v>62</c:v>
                </c:pt>
                <c:pt idx="12">
                  <c:v>79</c:v>
                </c:pt>
                <c:pt idx="13">
                  <c:v>80</c:v>
                </c:pt>
                <c:pt idx="14">
                  <c:v>52</c:v>
                </c:pt>
                <c:pt idx="15">
                  <c:v>47</c:v>
                </c:pt>
                <c:pt idx="16">
                  <c:v>64</c:v>
                </c:pt>
                <c:pt idx="17">
                  <c:v>63</c:v>
                </c:pt>
                <c:pt idx="18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02-4A4A-867D-8986E1DE3CFB}"/>
            </c:ext>
          </c:extLst>
        </c:ser>
        <c:ser>
          <c:idx val="1"/>
          <c:order val="1"/>
          <c:tx>
            <c:v>Predicted 68</c:v>
          </c:tx>
          <c:spPr>
            <a:ln w="28575">
              <a:noFill/>
            </a:ln>
          </c:spPr>
          <c:xVal>
            <c:numRef>
              <c:f>'Student Study Dataset'!$D$3:$D$21</c:f>
              <c:numCache>
                <c:formatCode>General</c:formatCode>
                <c:ptCount val="19"/>
                <c:pt idx="0">
                  <c:v>6.6</c:v>
                </c:pt>
                <c:pt idx="1">
                  <c:v>2.2999999999999998</c:v>
                </c:pt>
                <c:pt idx="2">
                  <c:v>7.8</c:v>
                </c:pt>
                <c:pt idx="3">
                  <c:v>1.1000000000000001</c:v>
                </c:pt>
                <c:pt idx="4">
                  <c:v>4.5</c:v>
                </c:pt>
                <c:pt idx="5">
                  <c:v>5.3</c:v>
                </c:pt>
                <c:pt idx="6">
                  <c:v>7.9</c:v>
                </c:pt>
                <c:pt idx="7">
                  <c:v>4.5</c:v>
                </c:pt>
                <c:pt idx="8">
                  <c:v>9.6</c:v>
                </c:pt>
                <c:pt idx="9">
                  <c:v>7.5</c:v>
                </c:pt>
                <c:pt idx="10">
                  <c:v>3.7</c:v>
                </c:pt>
                <c:pt idx="11">
                  <c:v>7.9</c:v>
                </c:pt>
                <c:pt idx="12">
                  <c:v>8.4</c:v>
                </c:pt>
                <c:pt idx="13">
                  <c:v>1.8</c:v>
                </c:pt>
                <c:pt idx="14">
                  <c:v>9.8000000000000007</c:v>
                </c:pt>
                <c:pt idx="15">
                  <c:v>9.1</c:v>
                </c:pt>
                <c:pt idx="16">
                  <c:v>9.1999999999999993</c:v>
                </c:pt>
                <c:pt idx="17">
                  <c:v>6.7</c:v>
                </c:pt>
                <c:pt idx="18">
                  <c:v>3.8</c:v>
                </c:pt>
              </c:numCache>
            </c:numRef>
          </c:xVal>
          <c:yVal>
            <c:numRef>
              <c:f>Sheet4!$B$25:$B$43</c:f>
              <c:numCache>
                <c:formatCode>General</c:formatCode>
                <c:ptCount val="19"/>
                <c:pt idx="0">
                  <c:v>67.936518839819087</c:v>
                </c:pt>
                <c:pt idx="1">
                  <c:v>74.580368306500162</c:v>
                </c:pt>
                <c:pt idx="2">
                  <c:v>66.08242131423367</c:v>
                </c:pt>
                <c:pt idx="3">
                  <c:v>76.434465832085579</c:v>
                </c:pt>
                <c:pt idx="4">
                  <c:v>71.181189509593565</c:v>
                </c:pt>
                <c:pt idx="5">
                  <c:v>69.945124492536621</c:v>
                </c:pt>
                <c:pt idx="6">
                  <c:v>65.927913187101552</c:v>
                </c:pt>
                <c:pt idx="7">
                  <c:v>71.181189509593565</c:v>
                </c:pt>
                <c:pt idx="8">
                  <c:v>63.301275025855553</c:v>
                </c:pt>
                <c:pt idx="9">
                  <c:v>66.545945695630024</c:v>
                </c:pt>
                <c:pt idx="10">
                  <c:v>72.41725452665051</c:v>
                </c:pt>
                <c:pt idx="11">
                  <c:v>65.927913187101552</c:v>
                </c:pt>
                <c:pt idx="12">
                  <c:v>65.155372551440962</c:v>
                </c:pt>
                <c:pt idx="13">
                  <c:v>75.352908942160752</c:v>
                </c:pt>
                <c:pt idx="14">
                  <c:v>62.99225877159131</c:v>
                </c:pt>
                <c:pt idx="15">
                  <c:v>64.073815661516136</c:v>
                </c:pt>
                <c:pt idx="16">
                  <c:v>63.919307534384025</c:v>
                </c:pt>
                <c:pt idx="17">
                  <c:v>67.782010712686969</c:v>
                </c:pt>
                <c:pt idx="18">
                  <c:v>72.262746399518392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02-4A4A-867D-8986E1DE3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23263"/>
        <c:axId val="192840063"/>
      </c:scatterChart>
      <c:valAx>
        <c:axId val="19282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1.1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40063"/>
        <c:crosses val="autoZero"/>
        <c:crossBetween val="midCat"/>
      </c:valAx>
      <c:valAx>
        <c:axId val="192840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232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Sheet4!$F$25:$F$43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Sheet4!$G$25:$G$43</c:f>
              <c:numCache>
                <c:formatCode>General</c:formatCode>
                <c:ptCount val="19"/>
                <c:pt idx="0">
                  <c:v>37</c:v>
                </c:pt>
                <c:pt idx="1">
                  <c:v>44</c:v>
                </c:pt>
                <c:pt idx="2">
                  <c:v>47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64</c:v>
                </c:pt>
                <c:pt idx="10">
                  <c:v>72</c:v>
                </c:pt>
                <c:pt idx="11">
                  <c:v>75</c:v>
                </c:pt>
                <c:pt idx="12">
                  <c:v>79</c:v>
                </c:pt>
                <c:pt idx="13">
                  <c:v>80</c:v>
                </c:pt>
                <c:pt idx="14">
                  <c:v>84</c:v>
                </c:pt>
                <c:pt idx="15">
                  <c:v>86</c:v>
                </c:pt>
                <c:pt idx="16">
                  <c:v>95</c:v>
                </c:pt>
                <c:pt idx="17">
                  <c:v>96</c:v>
                </c:pt>
                <c:pt idx="18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9F-4D27-9429-252CC9C8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34303"/>
        <c:axId val="192830463"/>
      </c:scatterChart>
      <c:valAx>
        <c:axId val="19283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30463"/>
        <c:crosses val="autoZero"/>
        <c:crossBetween val="midCat"/>
      </c:valAx>
      <c:valAx>
        <c:axId val="192830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343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COLUMN CHART FOR MARKS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A-4619-8BEF-AE47BEED07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Dataset'!$C$3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A-4619-8BEF-AE47BEED07B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A-4619-8BEF-AE47BEED07B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Dataset'!$C$5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8A-4619-8BEF-AE47BEED07B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Dataset'!$C$6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8A-4619-8BEF-AE47BEED07B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Dataset'!$C$7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8A-4619-8BEF-AE47BEED07B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Dataset'!$C$8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8A-4619-8BEF-AE47BEED07B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Dataset'!$C$9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8A-4619-8BEF-AE47BEED07B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Dataset'!$C$10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8A-4619-8BEF-AE47BEED07B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8A-4619-8BEF-AE47BEED07B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Dataset'!$C$12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8A-4619-8BEF-AE47BEED07B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Dataset'!$C$13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8A-4619-8BEF-AE47BEED07B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Dataset'!$C$14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8A-4619-8BEF-AE47BEED07B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Dataset'!$C$15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8A-4619-8BEF-AE47BEED07B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Dataset'!$C$16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8A-4619-8BEF-AE47BEED07B1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Dataset'!$C$17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8A-4619-8BEF-AE47BEED07B1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Dataset'!$C$18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8A-4619-8BEF-AE47BEED07B1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Dataset'!$C$19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8A-4619-8BEF-AE47BEED07B1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Dataset'!$C$20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88A-4619-8BEF-AE47BEED07B1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'Student Study Dataset'!$C$1</c:f>
              <c:strCache>
                <c:ptCount val="1"/>
                <c:pt idx="0">
                  <c:v>Marks</c:v>
                </c:pt>
              </c:strCache>
            </c:strRef>
          </c:cat>
          <c:val>
            <c:numRef>
              <c:f>'Student Study Dataset'!$C$21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8A-4619-8BEF-AE47BEED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986943"/>
        <c:axId val="304987903"/>
      </c:lineChart>
      <c:catAx>
        <c:axId val="3049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87903"/>
        <c:crosses val="autoZero"/>
        <c:auto val="1"/>
        <c:lblAlgn val="ctr"/>
        <c:lblOffset val="100"/>
        <c:noMultiLvlLbl val="0"/>
      </c:catAx>
      <c:valAx>
        <c:axId val="3049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8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 CHAT FOR MARKS VS STD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306780402449694"/>
          <c:y val="0.18300925925925926"/>
          <c:w val="0.67232808398950128"/>
          <c:h val="0.45438137941090695"/>
        </c:manualLayout>
      </c:layout>
      <c:bar3DChart>
        <c:barDir val="bar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Dataset'!$C$2:$D$2</c:f>
              <c:numCache>
                <c:formatCode>General</c:formatCode>
                <c:ptCount val="2"/>
                <c:pt idx="0">
                  <c:v>68</c:v>
                </c:pt>
                <c:pt idx="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2-4675-9924-CC30CDF4C91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Dataset'!$C$3:$D$3</c:f>
              <c:numCache>
                <c:formatCode>General</c:formatCode>
                <c:ptCount val="2"/>
                <c:pt idx="0">
                  <c:v>64</c:v>
                </c:pt>
                <c:pt idx="1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2-4675-9924-CC30CDF4C91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Dataset'!$C$4:$D$4</c:f>
              <c:numCache>
                <c:formatCode>General</c:formatCode>
                <c:ptCount val="2"/>
                <c:pt idx="0">
                  <c:v>84</c:v>
                </c:pt>
                <c:pt idx="1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A3-AB28-4F3F42AB96D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Dataset'!$C$5:$D$5</c:f>
              <c:numCache>
                <c:formatCode>General</c:formatCode>
                <c:ptCount val="2"/>
                <c:pt idx="0">
                  <c:v>99</c:v>
                </c:pt>
                <c:pt idx="1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E-4EA3-AB28-4F3F42AB96DB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Dataset'!$C$6:$D$6</c:f>
              <c:numCache>
                <c:formatCode>General</c:formatCode>
                <c:ptCount val="2"/>
                <c:pt idx="0">
                  <c:v>51</c:v>
                </c:pt>
                <c:pt idx="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E-4EA3-AB28-4F3F42AB96DB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Dataset'!$C$7:$D$7</c:f>
              <c:numCache>
                <c:formatCode>General</c:formatCode>
                <c:ptCount val="2"/>
                <c:pt idx="0">
                  <c:v>95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E-4EA3-AB28-4F3F42AB96DB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Dataset'!$C$8:$D$8</c:f>
              <c:numCache>
                <c:formatCode>General</c:formatCode>
                <c:ptCount val="2"/>
                <c:pt idx="0">
                  <c:v>75</c:v>
                </c:pt>
                <c:pt idx="1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3E-4EA3-AB28-4F3F42AB96DB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Dataset'!$C$9:$D$9</c:f>
              <c:numCache>
                <c:formatCode>General</c:formatCode>
                <c:ptCount val="2"/>
                <c:pt idx="0">
                  <c:v>37</c:v>
                </c:pt>
                <c:pt idx="1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3E-4EA3-AB28-4F3F42AB96DB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Dataset'!$C$10:$D$10</c:f>
              <c:numCache>
                <c:formatCode>General</c:formatCode>
                <c:ptCount val="2"/>
                <c:pt idx="0">
                  <c:v>72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3E-4EA3-AB28-4F3F42AB96DB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Dataset'!$C$11:$D$11</c:f>
              <c:numCache>
                <c:formatCode>General</c:formatCode>
                <c:ptCount val="2"/>
                <c:pt idx="0">
                  <c:v>86</c:v>
                </c:pt>
                <c:pt idx="1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3E-4EA3-AB28-4F3F42AB96DB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Dataset'!$C$12:$D$12</c:f>
              <c:numCache>
                <c:formatCode>General</c:formatCode>
                <c:ptCount val="2"/>
                <c:pt idx="0">
                  <c:v>44</c:v>
                </c:pt>
                <c:pt idx="1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3E-4EA3-AB28-4F3F42AB96DB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Dataset'!$C$13:$D$13</c:f>
              <c:numCache>
                <c:formatCode>General</c:formatCode>
                <c:ptCount val="2"/>
                <c:pt idx="0">
                  <c:v>53</c:v>
                </c:pt>
                <c:pt idx="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3E-4EA3-AB28-4F3F42AB96DB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Dataset'!$C$14:$D$14</c:f>
              <c:numCache>
                <c:formatCode>General</c:formatCode>
                <c:ptCount val="2"/>
                <c:pt idx="0">
                  <c:v>62</c:v>
                </c:pt>
                <c:pt idx="1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3E-4EA3-AB28-4F3F42AB96DB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Dataset'!$C$15:$D$15</c:f>
              <c:numCache>
                <c:formatCode>General</c:formatCode>
                <c:ptCount val="2"/>
                <c:pt idx="0">
                  <c:v>79</c:v>
                </c:pt>
                <c:pt idx="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3E-4EA3-AB28-4F3F42AB96DB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Dataset'!$C$16:$D$16</c:f>
              <c:numCache>
                <c:formatCode>General</c:formatCode>
                <c:ptCount val="2"/>
                <c:pt idx="0">
                  <c:v>80</c:v>
                </c:pt>
                <c:pt idx="1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3E-4EA3-AB28-4F3F42AB96DB}"/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Dataset'!$C$17:$D$17</c:f>
              <c:numCache>
                <c:formatCode>General</c:formatCode>
                <c:ptCount val="2"/>
                <c:pt idx="0">
                  <c:v>52</c:v>
                </c:pt>
                <c:pt idx="1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13E-4EA3-AB28-4F3F42AB96DB}"/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Dataset'!$C$18:$D$18</c:f>
              <c:numCache>
                <c:formatCode>General</c:formatCode>
                <c:ptCount val="2"/>
                <c:pt idx="0">
                  <c:v>47</c:v>
                </c:pt>
                <c:pt idx="1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3E-4EA3-AB28-4F3F42AB96DB}"/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Dataset'!$C$19:$D$19</c:f>
              <c:numCache>
                <c:formatCode>General</c:formatCode>
                <c:ptCount val="2"/>
                <c:pt idx="0">
                  <c:v>64</c:v>
                </c:pt>
                <c:pt idx="1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13E-4EA3-AB28-4F3F42AB96DB}"/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Dataset'!$C$20:$D$20</c:f>
              <c:numCache>
                <c:formatCode>General</c:formatCode>
                <c:ptCount val="2"/>
                <c:pt idx="0">
                  <c:v>63</c:v>
                </c:pt>
                <c:pt idx="1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13E-4EA3-AB28-4F3F42AB96DB}"/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Study Dataset'!$C$1:$D$1</c:f>
              <c:strCache>
                <c:ptCount val="2"/>
                <c:pt idx="0">
                  <c:v>Marks</c:v>
                </c:pt>
                <c:pt idx="1">
                  <c:v>Study_Hours_Per_Day</c:v>
                </c:pt>
              </c:strCache>
            </c:strRef>
          </c:cat>
          <c:val>
            <c:numRef>
              <c:f>'Student Study Dataset'!$C$21:$D$21</c:f>
              <c:numCache>
                <c:formatCode>General</c:formatCode>
                <c:ptCount val="2"/>
                <c:pt idx="0">
                  <c:v>96</c:v>
                </c:pt>
                <c:pt idx="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13E-4EA3-AB28-4F3F42AB9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shape val="box"/>
        <c:axId val="1192257584"/>
        <c:axId val="1192259024"/>
        <c:axId val="0"/>
      </c:bar3DChart>
      <c:catAx>
        <c:axId val="119225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59024"/>
        <c:crosses val="autoZero"/>
        <c:auto val="1"/>
        <c:lblAlgn val="ctr"/>
        <c:lblOffset val="100"/>
        <c:noMultiLvlLbl val="0"/>
      </c:catAx>
      <c:valAx>
        <c:axId val="119225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5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FOR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9895851560221639"/>
          <c:w val="0.93888888888888888"/>
          <c:h val="0.57766076115485565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20-44F8-8A1D-BD479554B45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20-44F8-8A1D-BD479554B45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20-44F8-8A1D-BD479554B459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20-44F8-8A1D-BD479554B459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20-44F8-8A1D-BD479554B459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520-44F8-8A1D-BD479554B459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520-44F8-8A1D-BD479554B459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520-44F8-8A1D-BD479554B459}"/>
              </c:ext>
            </c:extLst>
          </c:dPt>
          <c:dPt>
            <c:idx val="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520-44F8-8A1D-BD479554B459}"/>
              </c:ext>
            </c:extLst>
          </c:dPt>
          <c:dPt>
            <c:idx val="9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520-44F8-8A1D-BD479554B459}"/>
              </c:ext>
            </c:extLst>
          </c:dPt>
          <c:dPt>
            <c:idx val="1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520-44F8-8A1D-BD479554B459}"/>
              </c:ext>
            </c:extLst>
          </c:dPt>
          <c:dPt>
            <c:idx val="1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520-44F8-8A1D-BD479554B459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520-44F8-8A1D-BD479554B459}"/>
              </c:ext>
            </c:extLst>
          </c:dPt>
          <c:dPt>
            <c:idx val="1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520-44F8-8A1D-BD479554B459}"/>
              </c:ext>
            </c:extLst>
          </c:dPt>
          <c:dPt>
            <c:idx val="1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520-44F8-8A1D-BD479554B459}"/>
              </c:ext>
            </c:extLst>
          </c:dPt>
          <c:dPt>
            <c:idx val="1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520-44F8-8A1D-BD479554B459}"/>
              </c:ext>
            </c:extLst>
          </c:dPt>
          <c:dPt>
            <c:idx val="1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520-44F8-8A1D-BD479554B459}"/>
              </c:ext>
            </c:extLst>
          </c:dPt>
          <c:dPt>
            <c:idx val="1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520-44F8-8A1D-BD479554B459}"/>
              </c:ext>
            </c:extLst>
          </c:dPt>
          <c:dPt>
            <c:idx val="1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520-44F8-8A1D-BD479554B459}"/>
              </c:ext>
            </c:extLst>
          </c:dPt>
          <c:dPt>
            <c:idx val="19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520-44F8-8A1D-BD479554B459}"/>
              </c:ext>
            </c:extLst>
          </c:dPt>
          <c:dPt>
            <c:idx val="2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1520-44F8-8A1D-BD479554B4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'Student Study Dataset'!$C$2:$C$22</c:f>
              <c:numCache>
                <c:formatCode>General</c:formatCode>
                <c:ptCount val="21"/>
                <c:pt idx="0">
                  <c:v>68</c:v>
                </c:pt>
                <c:pt idx="1">
                  <c:v>64</c:v>
                </c:pt>
                <c:pt idx="2">
                  <c:v>84</c:v>
                </c:pt>
                <c:pt idx="3">
                  <c:v>99</c:v>
                </c:pt>
                <c:pt idx="4">
                  <c:v>51</c:v>
                </c:pt>
                <c:pt idx="5">
                  <c:v>95</c:v>
                </c:pt>
                <c:pt idx="6">
                  <c:v>75</c:v>
                </c:pt>
                <c:pt idx="7">
                  <c:v>37</c:v>
                </c:pt>
                <c:pt idx="8">
                  <c:v>72</c:v>
                </c:pt>
                <c:pt idx="9">
                  <c:v>86</c:v>
                </c:pt>
                <c:pt idx="10">
                  <c:v>44</c:v>
                </c:pt>
                <c:pt idx="11">
                  <c:v>53</c:v>
                </c:pt>
                <c:pt idx="12">
                  <c:v>62</c:v>
                </c:pt>
                <c:pt idx="13">
                  <c:v>79</c:v>
                </c:pt>
                <c:pt idx="14">
                  <c:v>80</c:v>
                </c:pt>
                <c:pt idx="15">
                  <c:v>52</c:v>
                </c:pt>
                <c:pt idx="16">
                  <c:v>47</c:v>
                </c:pt>
                <c:pt idx="17">
                  <c:v>64</c:v>
                </c:pt>
                <c:pt idx="18">
                  <c:v>63</c:v>
                </c:pt>
                <c:pt idx="1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6-45C6-AA26-7BA2BC32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63903"/>
        <c:axId val="304962943"/>
      </c:areaChart>
      <c:catAx>
        <c:axId val="3049639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62943"/>
        <c:auto val="1"/>
        <c:lblAlgn val="ctr"/>
        <c:lblOffset val="100"/>
        <c:noMultiLvlLbl val="0"/>
      </c:catAx>
      <c:valAx>
        <c:axId val="30496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6390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11</xdr:row>
      <xdr:rowOff>123825</xdr:rowOff>
    </xdr:from>
    <xdr:to>
      <xdr:col>15</xdr:col>
      <xdr:colOff>295275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57561-BCC2-B1B3-CB71-2A4957AD6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</xdr:row>
      <xdr:rowOff>0</xdr:rowOff>
    </xdr:from>
    <xdr:to>
      <xdr:col>15</xdr:col>
      <xdr:colOff>190500</xdr:colOff>
      <xdr:row>10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A31A1-E82F-6BE4-45F8-8790E1D8B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22</xdr:col>
      <xdr:colOff>0</xdr:colOff>
      <xdr:row>11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44A9A0-1EE5-5672-4ACB-F25870333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80962</xdr:rowOff>
    </xdr:from>
    <xdr:to>
      <xdr:col>10</xdr:col>
      <xdr:colOff>904875</xdr:colOff>
      <xdr:row>17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4A487-73E6-167B-96C9-F02846A4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0</xdr:row>
      <xdr:rowOff>147637</xdr:rowOff>
    </xdr:from>
    <xdr:to>
      <xdr:col>19</xdr:col>
      <xdr:colOff>38100</xdr:colOff>
      <xdr:row>15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9DF0F7-5AF5-89EF-7EAB-65129451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1328737</xdr:colOff>
      <xdr:row>23</xdr:row>
      <xdr:rowOff>100012</xdr:rowOff>
    </xdr:from>
    <xdr:to>
      <xdr:col>10</xdr:col>
      <xdr:colOff>71437</xdr:colOff>
      <xdr:row>37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F8BE9B-7AE5-F27A-DA68-6549D0018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4A4B-1D76-4AF9-A259-83DEED4C57E7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5">
        <v>1</v>
      </c>
      <c r="B1" s="5"/>
    </row>
    <row r="2" spans="1:2" x14ac:dyDescent="0.25">
      <c r="A2" s="2"/>
      <c r="B2" s="2"/>
    </row>
    <row r="3" spans="1:2" x14ac:dyDescent="0.25">
      <c r="A3" s="2" t="s">
        <v>31</v>
      </c>
      <c r="B3" s="2">
        <v>11</v>
      </c>
    </row>
    <row r="4" spans="1:2" x14ac:dyDescent="0.25">
      <c r="A4" s="2" t="s">
        <v>32</v>
      </c>
      <c r="B4" s="2">
        <v>1.2909944487358054</v>
      </c>
    </row>
    <row r="5" spans="1:2" x14ac:dyDescent="0.25">
      <c r="A5" s="2" t="s">
        <v>33</v>
      </c>
      <c r="B5" s="2">
        <v>11</v>
      </c>
    </row>
    <row r="6" spans="1:2" x14ac:dyDescent="0.25">
      <c r="A6" s="2" t="s">
        <v>34</v>
      </c>
      <c r="B6" s="2" t="e">
        <v>#N/A</v>
      </c>
    </row>
    <row r="7" spans="1:2" x14ac:dyDescent="0.25">
      <c r="A7" s="2" t="s">
        <v>28</v>
      </c>
      <c r="B7" s="2">
        <v>5.6273143387113773</v>
      </c>
    </row>
    <row r="8" spans="1:2" x14ac:dyDescent="0.25">
      <c r="A8" s="2" t="s">
        <v>35</v>
      </c>
      <c r="B8" s="2">
        <v>31.666666666666668</v>
      </c>
    </row>
    <row r="9" spans="1:2" x14ac:dyDescent="0.25">
      <c r="A9" s="2" t="s">
        <v>36</v>
      </c>
      <c r="B9" s="2">
        <v>-1.1999999999999993</v>
      </c>
    </row>
    <row r="10" spans="1:2" x14ac:dyDescent="0.25">
      <c r="A10" s="2" t="s">
        <v>37</v>
      </c>
      <c r="B10" s="2">
        <v>0</v>
      </c>
    </row>
    <row r="11" spans="1:2" x14ac:dyDescent="0.25">
      <c r="A11" s="2" t="s">
        <v>38</v>
      </c>
      <c r="B11" s="2">
        <v>18</v>
      </c>
    </row>
    <row r="12" spans="1:2" x14ac:dyDescent="0.25">
      <c r="A12" s="2" t="s">
        <v>39</v>
      </c>
      <c r="B12" s="2">
        <v>2</v>
      </c>
    </row>
    <row r="13" spans="1:2" x14ac:dyDescent="0.25">
      <c r="A13" s="2" t="s">
        <v>40</v>
      </c>
      <c r="B13" s="2">
        <v>20</v>
      </c>
    </row>
    <row r="14" spans="1:2" x14ac:dyDescent="0.25">
      <c r="A14" s="2" t="s">
        <v>41</v>
      </c>
      <c r="B14" s="2">
        <v>209</v>
      </c>
    </row>
    <row r="15" spans="1:2" ht="15.75" thickBot="1" x14ac:dyDescent="0.3">
      <c r="A15" s="3" t="s">
        <v>42</v>
      </c>
      <c r="B15" s="3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DBE4-5F51-4F3C-9C0C-4FF00F625DCF}">
  <dimension ref="A1:I18"/>
  <sheetViews>
    <sheetView workbookViewId="0">
      <selection activeCell="C24" sqref="C24"/>
    </sheetView>
  </sheetViews>
  <sheetFormatPr defaultRowHeight="15" x14ac:dyDescent="0.25"/>
  <cols>
    <col min="1" max="1" width="25" customWidth="1"/>
    <col min="2" max="2" width="19.7109375" customWidth="1"/>
    <col min="3" max="3" width="19.28515625" customWidth="1"/>
    <col min="4" max="4" width="16.140625" customWidth="1"/>
    <col min="5" max="5" width="12.5703125" customWidth="1"/>
    <col min="6" max="6" width="13.42578125" customWidth="1"/>
    <col min="7" max="7" width="13.85546875" customWidth="1"/>
    <col min="8" max="8" width="12.85546875" customWidth="1"/>
    <col min="9" max="9" width="13.5703125" customWidth="1"/>
  </cols>
  <sheetData>
    <row r="1" spans="1:9" x14ac:dyDescent="0.25">
      <c r="A1" t="s">
        <v>43</v>
      </c>
    </row>
    <row r="2" spans="1:9" ht="15.75" thickBot="1" x14ac:dyDescent="0.3"/>
    <row r="3" spans="1:9" x14ac:dyDescent="0.25">
      <c r="A3" s="5" t="s">
        <v>44</v>
      </c>
      <c r="B3" s="5"/>
    </row>
    <row r="4" spans="1:9" x14ac:dyDescent="0.25">
      <c r="A4" s="2" t="s">
        <v>45</v>
      </c>
      <c r="B4" s="2">
        <v>0.22881665753725774</v>
      </c>
    </row>
    <row r="5" spans="1:9" x14ac:dyDescent="0.25">
      <c r="A5" s="2" t="s">
        <v>46</v>
      </c>
      <c r="B5" s="2">
        <v>5.2357062766522688E-2</v>
      </c>
    </row>
    <row r="6" spans="1:9" x14ac:dyDescent="0.25">
      <c r="A6" s="2" t="s">
        <v>47</v>
      </c>
      <c r="B6" s="2">
        <v>-3.3866394236818594E-3</v>
      </c>
    </row>
    <row r="7" spans="1:9" x14ac:dyDescent="0.25">
      <c r="A7" s="2" t="s">
        <v>32</v>
      </c>
      <c r="B7" s="2">
        <v>18.618526976306249</v>
      </c>
    </row>
    <row r="8" spans="1:9" ht="15.75" thickBot="1" x14ac:dyDescent="0.3">
      <c r="A8" s="3" t="s">
        <v>48</v>
      </c>
      <c r="B8" s="3">
        <v>19</v>
      </c>
    </row>
    <row r="10" spans="1:9" ht="15.75" thickBot="1" x14ac:dyDescent="0.3">
      <c r="A10" t="s">
        <v>49</v>
      </c>
    </row>
    <row r="11" spans="1:9" x14ac:dyDescent="0.25">
      <c r="A11" s="4"/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9" x14ac:dyDescent="0.25">
      <c r="A12" s="2" t="s">
        <v>50</v>
      </c>
      <c r="B12" s="2">
        <v>1</v>
      </c>
      <c r="C12" s="2">
        <v>325.58928390082747</v>
      </c>
      <c r="D12" s="2">
        <v>325.58928390082747</v>
      </c>
      <c r="E12" s="2">
        <v>0.93924624144757718</v>
      </c>
      <c r="F12" s="2">
        <v>0.34605909851956729</v>
      </c>
    </row>
    <row r="13" spans="1:9" x14ac:dyDescent="0.25">
      <c r="A13" s="2" t="s">
        <v>51</v>
      </c>
      <c r="B13" s="2">
        <v>17</v>
      </c>
      <c r="C13" s="2">
        <v>5893.0422950465409</v>
      </c>
      <c r="D13" s="2">
        <v>346.64954676744355</v>
      </c>
      <c r="E13" s="2"/>
      <c r="F13" s="2"/>
    </row>
    <row r="14" spans="1:9" ht="15.75" thickBot="1" x14ac:dyDescent="0.3">
      <c r="A14" s="3" t="s">
        <v>52</v>
      </c>
      <c r="B14" s="3">
        <v>18</v>
      </c>
      <c r="C14" s="3">
        <v>6218.6315789473683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59</v>
      </c>
      <c r="C16" s="4" t="s">
        <v>32</v>
      </c>
      <c r="D16" s="4" t="s">
        <v>60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</row>
    <row r="17" spans="1:9" x14ac:dyDescent="0.25">
      <c r="A17" s="2" t="s">
        <v>53</v>
      </c>
      <c r="B17" s="2">
        <v>78.134055230538877</v>
      </c>
      <c r="C17" s="2">
        <v>10.744785281025495</v>
      </c>
      <c r="D17" s="2">
        <v>7.2718116916229034</v>
      </c>
      <c r="E17" s="2">
        <v>1.3050585015685606E-6</v>
      </c>
      <c r="F17" s="2">
        <v>55.464539864157153</v>
      </c>
      <c r="G17" s="2">
        <v>100.80357059692059</v>
      </c>
      <c r="H17" s="2">
        <v>55.464539864157153</v>
      </c>
      <c r="I17" s="2">
        <v>100.80357059692059</v>
      </c>
    </row>
    <row r="18" spans="1:9" ht="15.75" thickBot="1" x14ac:dyDescent="0.3">
      <c r="A18" s="3">
        <v>1.1000000000000001</v>
      </c>
      <c r="B18" s="3">
        <v>-1.5450812713211799</v>
      </c>
      <c r="C18" s="3">
        <v>1.5942689774978978</v>
      </c>
      <c r="D18" s="3">
        <v>-0.96914717223318569</v>
      </c>
      <c r="E18" s="3">
        <v>0.34605909851956662</v>
      </c>
      <c r="F18" s="3">
        <v>-4.9086947953026385</v>
      </c>
      <c r="G18" s="3">
        <v>1.8185322526602787</v>
      </c>
      <c r="H18" s="3">
        <v>-4.9086947953026385</v>
      </c>
      <c r="I18" s="3">
        <v>1.8185322526602787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2B07-B8CE-42DC-946D-549253717380}">
  <dimension ref="A1:I43"/>
  <sheetViews>
    <sheetView workbookViewId="0">
      <selection activeCell="D37" sqref="D37"/>
    </sheetView>
  </sheetViews>
  <sheetFormatPr defaultRowHeight="15" x14ac:dyDescent="0.25"/>
  <cols>
    <col min="1" max="1" width="19.28515625" customWidth="1"/>
    <col min="2" max="2" width="18.140625" customWidth="1"/>
    <col min="3" max="3" width="14.5703125" bestFit="1" customWidth="1"/>
    <col min="6" max="6" width="14.42578125" customWidth="1"/>
    <col min="7" max="7" width="17.140625" customWidth="1"/>
    <col min="8" max="8" width="16.85546875" customWidth="1"/>
    <col min="9" max="9" width="15" customWidth="1"/>
  </cols>
  <sheetData>
    <row r="1" spans="1:9" x14ac:dyDescent="0.25">
      <c r="A1" t="s">
        <v>43</v>
      </c>
    </row>
    <row r="2" spans="1:9" ht="15.75" thickBot="1" x14ac:dyDescent="0.3"/>
    <row r="3" spans="1:9" x14ac:dyDescent="0.25">
      <c r="A3" s="5" t="s">
        <v>44</v>
      </c>
      <c r="B3" s="5"/>
    </row>
    <row r="4" spans="1:9" x14ac:dyDescent="0.25">
      <c r="A4" s="2" t="s">
        <v>45</v>
      </c>
      <c r="B4" s="2">
        <v>0.22881665753725774</v>
      </c>
    </row>
    <row r="5" spans="1:9" x14ac:dyDescent="0.25">
      <c r="A5" s="2" t="s">
        <v>46</v>
      </c>
      <c r="B5" s="2">
        <v>5.2357062766522688E-2</v>
      </c>
    </row>
    <row r="6" spans="1:9" x14ac:dyDescent="0.25">
      <c r="A6" s="2" t="s">
        <v>47</v>
      </c>
      <c r="B6" s="2">
        <v>-3.3866394236818594E-3</v>
      </c>
    </row>
    <row r="7" spans="1:9" x14ac:dyDescent="0.25">
      <c r="A7" s="2" t="s">
        <v>32</v>
      </c>
      <c r="B7" s="2">
        <v>18.618526976306249</v>
      </c>
    </row>
    <row r="8" spans="1:9" ht="15.75" thickBot="1" x14ac:dyDescent="0.3">
      <c r="A8" s="3" t="s">
        <v>48</v>
      </c>
      <c r="B8" s="3">
        <v>19</v>
      </c>
    </row>
    <row r="10" spans="1:9" ht="15.75" thickBot="1" x14ac:dyDescent="0.3">
      <c r="A10" t="s">
        <v>49</v>
      </c>
    </row>
    <row r="11" spans="1:9" x14ac:dyDescent="0.25">
      <c r="A11" s="4"/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9" x14ac:dyDescent="0.25">
      <c r="A12" s="2" t="s">
        <v>50</v>
      </c>
      <c r="B12" s="2">
        <v>1</v>
      </c>
      <c r="C12" s="2">
        <v>325.58928390082747</v>
      </c>
      <c r="D12" s="2">
        <v>325.58928390082747</v>
      </c>
      <c r="E12" s="2">
        <v>0.93924624144757718</v>
      </c>
      <c r="F12" s="2">
        <v>0.34605909851956729</v>
      </c>
    </row>
    <row r="13" spans="1:9" x14ac:dyDescent="0.25">
      <c r="A13" s="2" t="s">
        <v>51</v>
      </c>
      <c r="B13" s="2">
        <v>17</v>
      </c>
      <c r="C13" s="2">
        <v>5893.0422950465409</v>
      </c>
      <c r="D13" s="2">
        <v>346.64954676744355</v>
      </c>
      <c r="E13" s="2"/>
      <c r="F13" s="2"/>
    </row>
    <row r="14" spans="1:9" ht="15.75" thickBot="1" x14ac:dyDescent="0.3">
      <c r="A14" s="3" t="s">
        <v>52</v>
      </c>
      <c r="B14" s="3">
        <v>18</v>
      </c>
      <c r="C14" s="3">
        <v>6218.6315789473683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59</v>
      </c>
      <c r="C16" s="4" t="s">
        <v>32</v>
      </c>
      <c r="D16" s="4" t="s">
        <v>60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</row>
    <row r="17" spans="1:9" x14ac:dyDescent="0.25">
      <c r="A17" s="2" t="s">
        <v>53</v>
      </c>
      <c r="B17" s="2">
        <v>78.134055230538877</v>
      </c>
      <c r="C17" s="2">
        <v>10.744785281025495</v>
      </c>
      <c r="D17" s="2">
        <v>7.2718116916229034</v>
      </c>
      <c r="E17" s="2">
        <v>1.3050585015685606E-6</v>
      </c>
      <c r="F17" s="2">
        <v>55.464539864157153</v>
      </c>
      <c r="G17" s="2">
        <v>100.80357059692059</v>
      </c>
      <c r="H17" s="2">
        <v>55.464539864157153</v>
      </c>
      <c r="I17" s="2">
        <v>100.80357059692059</v>
      </c>
    </row>
    <row r="18" spans="1:9" ht="15.75" thickBot="1" x14ac:dyDescent="0.3">
      <c r="A18" s="3">
        <v>1.1000000000000001</v>
      </c>
      <c r="B18" s="3">
        <v>-1.5450812713211799</v>
      </c>
      <c r="C18" s="3">
        <v>1.5942689774978978</v>
      </c>
      <c r="D18" s="3">
        <v>-0.96914717223318569</v>
      </c>
      <c r="E18" s="3">
        <v>0.34605909851956662</v>
      </c>
      <c r="F18" s="3">
        <v>-4.9086947953026385</v>
      </c>
      <c r="G18" s="3">
        <v>1.8185322526602787</v>
      </c>
      <c r="H18" s="3">
        <v>-4.9086947953026385</v>
      </c>
      <c r="I18" s="3">
        <v>1.8185322526602787</v>
      </c>
    </row>
    <row r="22" spans="1:9" x14ac:dyDescent="0.25">
      <c r="A22" t="s">
        <v>66</v>
      </c>
      <c r="F22" t="s">
        <v>71</v>
      </c>
    </row>
    <row r="23" spans="1:9" ht="15.75" thickBot="1" x14ac:dyDescent="0.3"/>
    <row r="24" spans="1:9" x14ac:dyDescent="0.25">
      <c r="A24" s="4" t="s">
        <v>67</v>
      </c>
      <c r="B24" s="4" t="s">
        <v>68</v>
      </c>
      <c r="C24" s="4" t="s">
        <v>69</v>
      </c>
      <c r="D24" s="4" t="s">
        <v>70</v>
      </c>
      <c r="F24" s="4" t="s">
        <v>72</v>
      </c>
      <c r="G24" s="4">
        <v>68</v>
      </c>
    </row>
    <row r="25" spans="1:9" x14ac:dyDescent="0.25">
      <c r="A25" s="2">
        <v>1</v>
      </c>
      <c r="B25" s="2">
        <v>67.936518839819087</v>
      </c>
      <c r="C25" s="2">
        <v>-3.9365188398190867</v>
      </c>
      <c r="D25" s="2">
        <v>-0.21755987859026826</v>
      </c>
      <c r="F25" s="2">
        <v>2.6315789473684212</v>
      </c>
      <c r="G25" s="2">
        <v>37</v>
      </c>
    </row>
    <row r="26" spans="1:9" x14ac:dyDescent="0.25">
      <c r="A26" s="2">
        <v>2</v>
      </c>
      <c r="B26" s="2">
        <v>74.580368306500162</v>
      </c>
      <c r="C26" s="2">
        <v>9.4196316934998379</v>
      </c>
      <c r="D26" s="2">
        <v>0.52059548321558402</v>
      </c>
      <c r="F26" s="2">
        <v>7.8947368421052637</v>
      </c>
      <c r="G26" s="2">
        <v>44</v>
      </c>
    </row>
    <row r="27" spans="1:9" x14ac:dyDescent="0.25">
      <c r="A27" s="2">
        <v>3</v>
      </c>
      <c r="B27" s="2">
        <v>66.08242131423367</v>
      </c>
      <c r="C27" s="2">
        <v>32.91757868576633</v>
      </c>
      <c r="D27" s="2">
        <v>1.8192582618733391</v>
      </c>
      <c r="F27" s="2">
        <v>13.157894736842106</v>
      </c>
      <c r="G27" s="2">
        <v>47</v>
      </c>
    </row>
    <row r="28" spans="1:9" x14ac:dyDescent="0.25">
      <c r="A28" s="2">
        <v>4</v>
      </c>
      <c r="B28" s="2">
        <v>76.434465832085579</v>
      </c>
      <c r="C28" s="2">
        <v>-25.434465832085579</v>
      </c>
      <c r="D28" s="2">
        <v>-1.4056885089596505</v>
      </c>
      <c r="F28" s="2">
        <v>18.421052631578949</v>
      </c>
      <c r="G28" s="2">
        <v>51</v>
      </c>
    </row>
    <row r="29" spans="1:9" x14ac:dyDescent="0.25">
      <c r="A29" s="2">
        <v>5</v>
      </c>
      <c r="B29" s="2">
        <v>71.181189509593565</v>
      </c>
      <c r="C29" s="2">
        <v>23.818810490406435</v>
      </c>
      <c r="D29" s="2">
        <v>1.3163959653996182</v>
      </c>
      <c r="F29" s="2">
        <v>23.684210526315791</v>
      </c>
      <c r="G29" s="2">
        <v>52</v>
      </c>
    </row>
    <row r="30" spans="1:9" x14ac:dyDescent="0.25">
      <c r="A30" s="2">
        <v>6</v>
      </c>
      <c r="B30" s="2">
        <v>69.945124492536621</v>
      </c>
      <c r="C30" s="2">
        <v>5.0548755074633789</v>
      </c>
      <c r="D30" s="2">
        <v>0.27936817946061065</v>
      </c>
      <c r="F30" s="2">
        <v>28.947368421052634</v>
      </c>
      <c r="G30" s="2">
        <v>53</v>
      </c>
    </row>
    <row r="31" spans="1:9" x14ac:dyDescent="0.25">
      <c r="A31" s="2">
        <v>7</v>
      </c>
      <c r="B31" s="2">
        <v>65.927913187101552</v>
      </c>
      <c r="C31" s="2">
        <v>-28.927913187101552</v>
      </c>
      <c r="D31" s="2">
        <v>-1.5987611229481302</v>
      </c>
      <c r="F31" s="2">
        <v>34.21052631578948</v>
      </c>
      <c r="G31" s="2">
        <v>62</v>
      </c>
    </row>
    <row r="32" spans="1:9" x14ac:dyDescent="0.25">
      <c r="A32" s="2">
        <v>8</v>
      </c>
      <c r="B32" s="2">
        <v>71.181189509593565</v>
      </c>
      <c r="C32" s="2">
        <v>0.81881049040643461</v>
      </c>
      <c r="D32" s="2">
        <v>4.5253260083330082E-2</v>
      </c>
      <c r="F32" s="2">
        <v>39.473684210526315</v>
      </c>
      <c r="G32" s="2">
        <v>63</v>
      </c>
    </row>
    <row r="33" spans="1:7" x14ac:dyDescent="0.25">
      <c r="A33" s="2">
        <v>9</v>
      </c>
      <c r="B33" s="2">
        <v>63.301275025855553</v>
      </c>
      <c r="C33" s="2">
        <v>22.698724974144447</v>
      </c>
      <c r="D33" s="2">
        <v>1.2544921161245377</v>
      </c>
      <c r="F33" s="2">
        <v>44.736842105263165</v>
      </c>
      <c r="G33" s="2">
        <v>64</v>
      </c>
    </row>
    <row r="34" spans="1:7" x14ac:dyDescent="0.25">
      <c r="A34" s="2">
        <v>10</v>
      </c>
      <c r="B34" s="2">
        <v>66.545945695630024</v>
      </c>
      <c r="C34" s="2">
        <v>-22.545945695630024</v>
      </c>
      <c r="D34" s="2">
        <v>-1.2460484524111859</v>
      </c>
      <c r="F34" s="2">
        <v>50</v>
      </c>
      <c r="G34" s="2">
        <v>64</v>
      </c>
    </row>
    <row r="35" spans="1:7" x14ac:dyDescent="0.25">
      <c r="A35" s="2">
        <v>11</v>
      </c>
      <c r="B35" s="2">
        <v>72.41725452665051</v>
      </c>
      <c r="C35" s="2">
        <v>-19.41725452665051</v>
      </c>
      <c r="D35" s="2">
        <v>-1.0731348456009335</v>
      </c>
      <c r="F35" s="2">
        <v>55.26315789473685</v>
      </c>
      <c r="G35" s="2">
        <v>72</v>
      </c>
    </row>
    <row r="36" spans="1:7" x14ac:dyDescent="0.25">
      <c r="A36" s="2">
        <v>12</v>
      </c>
      <c r="B36" s="2">
        <v>65.927913187101552</v>
      </c>
      <c r="C36" s="2">
        <v>-3.9279131871015522</v>
      </c>
      <c r="D36" s="2">
        <v>-0.21708426934346917</v>
      </c>
      <c r="F36" s="2">
        <v>60.526315789473685</v>
      </c>
      <c r="G36" s="2">
        <v>75</v>
      </c>
    </row>
    <row r="37" spans="1:7" x14ac:dyDescent="0.25">
      <c r="A37" s="2">
        <v>13</v>
      </c>
      <c r="B37" s="2">
        <v>65.155372551440962</v>
      </c>
      <c r="C37" s="2">
        <v>13.844627448559038</v>
      </c>
      <c r="D37" s="2">
        <v>0.76515205169815115</v>
      </c>
      <c r="F37" s="2">
        <v>65.789473684210535</v>
      </c>
      <c r="G37" s="2">
        <v>79</v>
      </c>
    </row>
    <row r="38" spans="1:7" x14ac:dyDescent="0.25">
      <c r="A38" s="2">
        <v>14</v>
      </c>
      <c r="B38" s="2">
        <v>75.352908942160752</v>
      </c>
      <c r="C38" s="2">
        <v>4.6470910578392477</v>
      </c>
      <c r="D38" s="2">
        <v>0.25683112604838754</v>
      </c>
      <c r="F38" s="2">
        <v>71.052631578947384</v>
      </c>
      <c r="G38" s="2">
        <v>80</v>
      </c>
    </row>
    <row r="39" spans="1:7" x14ac:dyDescent="0.25">
      <c r="A39" s="2">
        <v>15</v>
      </c>
      <c r="B39" s="2">
        <v>62.99225877159131</v>
      </c>
      <c r="C39" s="2">
        <v>-10.99225877159131</v>
      </c>
      <c r="D39" s="2">
        <v>-0.60750998054162075</v>
      </c>
      <c r="F39" s="2">
        <v>76.31578947368422</v>
      </c>
      <c r="G39" s="2">
        <v>84</v>
      </c>
    </row>
    <row r="40" spans="1:7" x14ac:dyDescent="0.25">
      <c r="A40" s="2">
        <v>16</v>
      </c>
      <c r="B40" s="2">
        <v>64.073815661516136</v>
      </c>
      <c r="C40" s="2">
        <v>-17.073815661516136</v>
      </c>
      <c r="D40" s="2">
        <v>-0.94361983608918398</v>
      </c>
      <c r="F40" s="2">
        <v>81.578947368421055</v>
      </c>
      <c r="G40" s="2">
        <v>86</v>
      </c>
    </row>
    <row r="41" spans="1:7" x14ac:dyDescent="0.25">
      <c r="A41" s="2">
        <v>17</v>
      </c>
      <c r="B41" s="2">
        <v>63.919307534384025</v>
      </c>
      <c r="C41" s="2">
        <v>8.0692465615975095E-2</v>
      </c>
      <c r="D41" s="2">
        <v>4.4596364800753106E-3</v>
      </c>
      <c r="F41" s="2">
        <v>86.842105263157904</v>
      </c>
      <c r="G41" s="2">
        <v>95</v>
      </c>
    </row>
    <row r="42" spans="1:7" x14ac:dyDescent="0.25">
      <c r="A42" s="2">
        <v>18</v>
      </c>
      <c r="B42" s="2">
        <v>67.782010712686969</v>
      </c>
      <c r="C42" s="2">
        <v>-4.7820107126869686</v>
      </c>
      <c r="D42" s="2">
        <v>-0.26428774061636456</v>
      </c>
      <c r="F42" s="2">
        <v>92.105263157894754</v>
      </c>
      <c r="G42" s="2">
        <v>96</v>
      </c>
    </row>
    <row r="43" spans="1:7" ht="15.75" thickBot="1" x14ac:dyDescent="0.3">
      <c r="A43" s="3">
        <v>19</v>
      </c>
      <c r="B43" s="3">
        <v>72.262746399518392</v>
      </c>
      <c r="C43" s="3">
        <v>23.737253600481608</v>
      </c>
      <c r="D43" s="3">
        <v>1.3118885547171737</v>
      </c>
      <c r="F43" s="3">
        <v>97.368421052631589</v>
      </c>
      <c r="G43" s="3">
        <v>99</v>
      </c>
    </row>
  </sheetData>
  <sortState xmlns:xlrd2="http://schemas.microsoft.com/office/spreadsheetml/2017/richdata2" ref="G25:G43">
    <sortCondition ref="G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D31" sqref="D31"/>
    </sheetView>
  </sheetViews>
  <sheetFormatPr defaultRowHeight="15" x14ac:dyDescent="0.25"/>
  <cols>
    <col min="1" max="1" width="14" customWidth="1"/>
    <col min="2" max="2" width="17" customWidth="1"/>
    <col min="3" max="3" width="9" customWidth="1"/>
    <col min="4" max="4" width="23" customWidth="1"/>
    <col min="9" max="9" width="9.85546875" customWidth="1"/>
    <col min="10" max="10" width="18" customWidth="1"/>
    <col min="11" max="11" width="18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t="s">
        <v>28</v>
      </c>
      <c r="K1" s="1" t="s">
        <v>29</v>
      </c>
    </row>
    <row r="2" spans="1:16" x14ac:dyDescent="0.25">
      <c r="A2">
        <v>1</v>
      </c>
      <c r="B2" t="s">
        <v>4</v>
      </c>
      <c r="C2">
        <v>68</v>
      </c>
      <c r="D2">
        <v>1.1000000000000001</v>
      </c>
      <c r="E2">
        <f>AVERAGE(C2:C21)</f>
        <v>68.55</v>
      </c>
      <c r="F2">
        <f>MEDIAN(C2:C21)</f>
        <v>66</v>
      </c>
      <c r="G2">
        <f>_xlfn.MODE.SNGL(C2:C21)</f>
        <v>64</v>
      </c>
      <c r="H2">
        <f>MAX(C2:C21)-MIN(C2:C21)</f>
        <v>62</v>
      </c>
      <c r="I2">
        <f>_xlfn.VAR.S(C2:C21)</f>
        <v>327.31315789473666</v>
      </c>
      <c r="J2">
        <f>_xlfn.STDEV.S(C2:C21)</f>
        <v>18.091798083516647</v>
      </c>
      <c r="K2">
        <f>CORREL(C2:C21,D2:D21)</f>
        <v>-0.20783750681720645</v>
      </c>
    </row>
    <row r="3" spans="1:16" x14ac:dyDescent="0.25">
      <c r="A3">
        <v>2</v>
      </c>
      <c r="B3" t="s">
        <v>5</v>
      </c>
      <c r="C3">
        <v>64</v>
      </c>
      <c r="D3">
        <v>6.6</v>
      </c>
    </row>
    <row r="4" spans="1:16" x14ac:dyDescent="0.25">
      <c r="A4">
        <v>3</v>
      </c>
      <c r="B4" t="s">
        <v>6</v>
      </c>
      <c r="C4">
        <v>84</v>
      </c>
      <c r="D4">
        <v>2.2999999999999998</v>
      </c>
    </row>
    <row r="5" spans="1:16" x14ac:dyDescent="0.25">
      <c r="A5">
        <v>4</v>
      </c>
      <c r="B5" t="s">
        <v>7</v>
      </c>
      <c r="C5">
        <v>99</v>
      </c>
      <c r="D5">
        <v>7.8</v>
      </c>
    </row>
    <row r="6" spans="1:16" x14ac:dyDescent="0.25">
      <c r="A6">
        <v>5</v>
      </c>
      <c r="B6" t="s">
        <v>8</v>
      </c>
      <c r="C6">
        <v>51</v>
      </c>
      <c r="D6">
        <v>1.1000000000000001</v>
      </c>
    </row>
    <row r="7" spans="1:16" x14ac:dyDescent="0.25">
      <c r="A7">
        <v>6</v>
      </c>
      <c r="B7" t="s">
        <v>8</v>
      </c>
      <c r="C7">
        <v>95</v>
      </c>
      <c r="D7">
        <v>4.5</v>
      </c>
    </row>
    <row r="8" spans="1:16" x14ac:dyDescent="0.25">
      <c r="A8">
        <v>7</v>
      </c>
      <c r="B8" t="s">
        <v>9</v>
      </c>
      <c r="C8">
        <v>75</v>
      </c>
      <c r="D8">
        <v>5.3</v>
      </c>
    </row>
    <row r="9" spans="1:16" x14ac:dyDescent="0.25">
      <c r="A9">
        <v>8</v>
      </c>
      <c r="B9" t="s">
        <v>10</v>
      </c>
      <c r="C9">
        <v>37</v>
      </c>
      <c r="D9">
        <v>7.9</v>
      </c>
    </row>
    <row r="10" spans="1:16" x14ac:dyDescent="0.25">
      <c r="A10">
        <v>9</v>
      </c>
      <c r="B10" t="s">
        <v>11</v>
      </c>
      <c r="C10">
        <v>72</v>
      </c>
      <c r="D10">
        <v>4.5</v>
      </c>
    </row>
    <row r="11" spans="1:16" x14ac:dyDescent="0.25">
      <c r="A11">
        <v>10</v>
      </c>
      <c r="B11" t="s">
        <v>12</v>
      </c>
      <c r="C11">
        <v>86</v>
      </c>
      <c r="D11">
        <v>9.6</v>
      </c>
    </row>
    <row r="12" spans="1:16" x14ac:dyDescent="0.25">
      <c r="A12">
        <v>11</v>
      </c>
      <c r="B12" t="s">
        <v>13</v>
      </c>
      <c r="C12">
        <v>44</v>
      </c>
      <c r="D12">
        <v>7.5</v>
      </c>
    </row>
    <row r="13" spans="1:16" x14ac:dyDescent="0.25">
      <c r="A13">
        <v>12</v>
      </c>
      <c r="B13" t="s">
        <v>14</v>
      </c>
      <c r="C13">
        <v>53</v>
      </c>
      <c r="D13">
        <v>3.7</v>
      </c>
    </row>
    <row r="14" spans="1:16" x14ac:dyDescent="0.25">
      <c r="A14">
        <v>13</v>
      </c>
      <c r="B14" t="s">
        <v>15</v>
      </c>
      <c r="C14">
        <v>62</v>
      </c>
      <c r="D14">
        <v>7.9</v>
      </c>
    </row>
    <row r="15" spans="1:16" x14ac:dyDescent="0.25">
      <c r="A15">
        <v>14</v>
      </c>
      <c r="B15" t="s">
        <v>16</v>
      </c>
      <c r="C15">
        <v>79</v>
      </c>
      <c r="D15">
        <v>8.4</v>
      </c>
    </row>
    <row r="16" spans="1:16" x14ac:dyDescent="0.25">
      <c r="A16">
        <v>15</v>
      </c>
      <c r="B16" t="s">
        <v>17</v>
      </c>
      <c r="C16">
        <v>80</v>
      </c>
      <c r="D16">
        <v>1.8</v>
      </c>
      <c r="P16" t="s">
        <v>30</v>
      </c>
    </row>
    <row r="17" spans="1:4" x14ac:dyDescent="0.25">
      <c r="A17">
        <v>16</v>
      </c>
      <c r="B17" t="s">
        <v>18</v>
      </c>
      <c r="C17">
        <v>52</v>
      </c>
      <c r="D17">
        <v>9.8000000000000007</v>
      </c>
    </row>
    <row r="18" spans="1:4" x14ac:dyDescent="0.25">
      <c r="A18">
        <v>17</v>
      </c>
      <c r="B18" t="s">
        <v>19</v>
      </c>
      <c r="C18">
        <v>47</v>
      </c>
      <c r="D18">
        <v>9.1</v>
      </c>
    </row>
    <row r="19" spans="1:4" x14ac:dyDescent="0.25">
      <c r="A19">
        <v>18</v>
      </c>
      <c r="B19" t="s">
        <v>20</v>
      </c>
      <c r="C19">
        <v>64</v>
      </c>
      <c r="D19">
        <v>9.1999999999999993</v>
      </c>
    </row>
    <row r="20" spans="1:4" x14ac:dyDescent="0.25">
      <c r="A20">
        <v>19</v>
      </c>
      <c r="B20" t="s">
        <v>21</v>
      </c>
      <c r="C20">
        <v>63</v>
      </c>
      <c r="D20">
        <v>6.7</v>
      </c>
    </row>
    <row r="21" spans="1:4" x14ac:dyDescent="0.25">
      <c r="A21">
        <v>20</v>
      </c>
      <c r="B21" t="s">
        <v>22</v>
      </c>
      <c r="C21">
        <v>96</v>
      </c>
      <c r="D21">
        <v>3.8</v>
      </c>
    </row>
    <row r="31" spans="1:4" x14ac:dyDescent="0.25">
      <c r="D31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E562-2C4A-40FE-A723-E3750F4C7F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Student Study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2026-05-26T08:47:04Z</dcterms:created>
  <dcterms:modified xsi:type="dcterms:W3CDTF">2026-05-26T10:12:22Z</dcterms:modified>
</cp:coreProperties>
</file>