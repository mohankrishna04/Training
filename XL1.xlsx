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han\Downloads\"/>
    </mc:Choice>
  </mc:AlternateContent>
  <xr:revisionPtr revIDLastSave="0" documentId="13_ncr:1_{9C30969C-6677-481D-A15B-52FE0B08CDE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3" r:id="rId2"/>
    <sheet name="Sheet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1" l="1"/>
  <c r="J21" i="1"/>
  <c r="I21" i="1"/>
  <c r="H21" i="1"/>
  <c r="G21" i="1"/>
  <c r="F21" i="1"/>
  <c r="E21" i="1"/>
  <c r="K20" i="1"/>
  <c r="J20" i="1"/>
  <c r="I20" i="1"/>
  <c r="H20" i="1"/>
  <c r="G20" i="1"/>
  <c r="F20" i="1"/>
  <c r="E20" i="1"/>
  <c r="K19" i="1"/>
  <c r="J19" i="1"/>
  <c r="I19" i="1"/>
  <c r="H19" i="1"/>
  <c r="G19" i="1"/>
  <c r="F19" i="1"/>
  <c r="E19" i="1"/>
  <c r="K18" i="1"/>
  <c r="J18" i="1"/>
  <c r="I18" i="1"/>
  <c r="H18" i="1"/>
  <c r="G18" i="1"/>
  <c r="F18" i="1"/>
  <c r="E18" i="1"/>
  <c r="K17" i="1"/>
  <c r="J17" i="1"/>
  <c r="I17" i="1"/>
  <c r="H17" i="1"/>
  <c r="G17" i="1"/>
  <c r="F17" i="1"/>
  <c r="E17" i="1"/>
  <c r="K16" i="1"/>
  <c r="J16" i="1"/>
  <c r="I16" i="1"/>
  <c r="H16" i="1"/>
  <c r="G16" i="1"/>
  <c r="F16" i="1"/>
  <c r="E16" i="1"/>
  <c r="K15" i="1"/>
  <c r="J15" i="1"/>
  <c r="I15" i="1"/>
  <c r="H15" i="1"/>
  <c r="G15" i="1"/>
  <c r="F15" i="1"/>
  <c r="E15" i="1"/>
  <c r="K14" i="1"/>
  <c r="J14" i="1"/>
  <c r="I14" i="1"/>
  <c r="H14" i="1"/>
  <c r="G14" i="1"/>
  <c r="F14" i="1"/>
  <c r="E14" i="1"/>
  <c r="K13" i="1"/>
  <c r="J13" i="1"/>
  <c r="I13" i="1"/>
  <c r="H13" i="1"/>
  <c r="G13" i="1"/>
  <c r="F13" i="1"/>
  <c r="E13" i="1"/>
  <c r="K12" i="1"/>
  <c r="J12" i="1"/>
  <c r="I12" i="1"/>
  <c r="H12" i="1"/>
  <c r="G12" i="1"/>
  <c r="F12" i="1"/>
  <c r="E12" i="1"/>
  <c r="K11" i="1"/>
  <c r="J11" i="1"/>
  <c r="I11" i="1"/>
  <c r="H11" i="1"/>
  <c r="G11" i="1"/>
  <c r="F11" i="1"/>
  <c r="E11" i="1"/>
  <c r="K10" i="1"/>
  <c r="J10" i="1"/>
  <c r="I10" i="1"/>
  <c r="H10" i="1"/>
  <c r="G10" i="1"/>
  <c r="F10" i="1"/>
  <c r="E10" i="1"/>
  <c r="K9" i="1"/>
  <c r="J9" i="1"/>
  <c r="I9" i="1"/>
  <c r="H9" i="1"/>
  <c r="G9" i="1"/>
  <c r="F9" i="1"/>
  <c r="E9" i="1"/>
  <c r="K8" i="1"/>
  <c r="J8" i="1"/>
  <c r="I8" i="1"/>
  <c r="H8" i="1"/>
  <c r="G8" i="1"/>
  <c r="F8" i="1"/>
  <c r="E8" i="1"/>
  <c r="K7" i="1"/>
  <c r="J7" i="1"/>
  <c r="I7" i="1"/>
  <c r="H7" i="1"/>
  <c r="G7" i="1"/>
  <c r="F7" i="1"/>
  <c r="E7" i="1"/>
  <c r="K6" i="1"/>
  <c r="J6" i="1"/>
  <c r="I6" i="1"/>
  <c r="H6" i="1"/>
  <c r="G6" i="1"/>
  <c r="F6" i="1"/>
  <c r="E6" i="1"/>
  <c r="K5" i="1"/>
  <c r="J5" i="1"/>
  <c r="I5" i="1"/>
  <c r="H5" i="1"/>
  <c r="G5" i="1"/>
  <c r="F5" i="1"/>
  <c r="E5" i="1"/>
  <c r="K4" i="1"/>
  <c r="J4" i="1"/>
  <c r="I4" i="1"/>
  <c r="H4" i="1"/>
  <c r="G4" i="1"/>
  <c r="F4" i="1"/>
  <c r="E4" i="1"/>
  <c r="K3" i="1"/>
  <c r="J3" i="1"/>
  <c r="I3" i="1"/>
  <c r="H3" i="1"/>
  <c r="G3" i="1"/>
  <c r="F3" i="1"/>
  <c r="E3" i="1"/>
  <c r="K2" i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<sst xmlns="http://schemas.openxmlformats.org/spreadsheetml/2006/main" count="80" uniqueCount="67">
  <si>
    <t>Student_ID</t>
  </si>
  <si>
    <t>Student_Name</t>
  </si>
  <si>
    <t>Marks</t>
  </si>
  <si>
    <t>Study_Hours_Per_Day</t>
  </si>
  <si>
    <t>MEAN</t>
  </si>
  <si>
    <t>MEDIAN</t>
  </si>
  <si>
    <t>MODE</t>
  </si>
  <si>
    <t>RANGE</t>
  </si>
  <si>
    <t>VARIANCE</t>
  </si>
  <si>
    <t>Standard Deviation</t>
  </si>
  <si>
    <t>CORRELATION</t>
  </si>
  <si>
    <t>Divya</t>
  </si>
  <si>
    <t>Sneha</t>
  </si>
  <si>
    <t>Rahul</t>
  </si>
  <si>
    <t>Priya</t>
  </si>
  <si>
    <t>Rohit</t>
  </si>
  <si>
    <t>Vikram</t>
  </si>
  <si>
    <t>Ananya</t>
  </si>
  <si>
    <t>Nikhil</t>
  </si>
  <si>
    <t>Kiran</t>
  </si>
  <si>
    <t>Arjun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</si>
  <si>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</si>
  <si>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</si>
  <si>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</si>
  <si>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</si>
  <si>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</si>
  <si>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</si>
  <si>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</si>
  <si>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</si>
  <si>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</si>
  <si>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</si>
  <si>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</si>
  <si>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</si>
  <si>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</si>
  <si>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</si>
  <si>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</si>
  <si>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</si>
  <si>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</si>
  <si>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</si>
  <si>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</si>
  <si>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</si>
  <si>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</si>
  <si>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</si>
  <si>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</si>
  <si>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</si>
  <si>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</si>
  <si>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</si>
  <si>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3.7</t>
  </si>
  <si>
    <t>Residuals</t>
  </si>
  <si>
    <t>Standard Residuals</t>
  </si>
  <si>
    <t>PROBABILITY OUTPUT</t>
  </si>
  <si>
    <t>Percentile</t>
  </si>
  <si>
    <t>Column1</t>
  </si>
  <si>
    <t>Mean</t>
  </si>
  <si>
    <t>Median</t>
  </si>
  <si>
    <t>Mode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</si>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</sst>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68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Sheet!$C$3:$C$21</c:f>
              <c:numCache>
                <c:formatCode>General</c:formatCode>
                <c:ptCount val="19"/>
                <c:pt idx="0">
                  <c:v>78</c:v>
                </c:pt>
                <c:pt idx="1">
                  <c:v>88</c:v>
                </c:pt>
                <c:pt idx="2">
                  <c:v>56</c:v>
                </c:pt>
                <c:pt idx="3">
                  <c:v>96</c:v>
                </c:pt>
                <c:pt idx="4">
                  <c:v>97</c:v>
                </c:pt>
                <c:pt idx="5">
                  <c:v>56</c:v>
                </c:pt>
                <c:pt idx="6">
                  <c:v>86</c:v>
                </c:pt>
                <c:pt idx="7">
                  <c:v>65</c:v>
                </c:pt>
                <c:pt idx="8">
                  <c:v>71</c:v>
                </c:pt>
                <c:pt idx="9">
                  <c:v>91</c:v>
                </c:pt>
                <c:pt idx="10">
                  <c:v>53</c:v>
                </c:pt>
                <c:pt idx="11">
                  <c:v>98</c:v>
                </c:pt>
                <c:pt idx="12">
                  <c:v>88</c:v>
                </c:pt>
                <c:pt idx="13">
                  <c:v>73</c:v>
                </c:pt>
                <c:pt idx="14">
                  <c:v>98</c:v>
                </c:pt>
                <c:pt idx="15">
                  <c:v>72</c:v>
                </c:pt>
                <c:pt idx="16">
                  <c:v>74</c:v>
                </c:pt>
                <c:pt idx="17">
                  <c:v>82</c:v>
                </c:pt>
                <c:pt idx="18">
                  <c:v>83</c:v>
                </c:pt>
              </c:numCache>
            </c:numRef>
          </c:xVal>
          <c:yVal>
            <c:numRef>
              <c:f>Sheet1!$C$25:$C$43</c:f>
              <c:numCache>
                <c:formatCode>General</c:formatCode>
                <c:ptCount val="19"/>
                <c:pt idx="0">
                  <c:v>2.1991125075795166</c:v>
                </c:pt>
                <c:pt idx="1">
                  <c:v>-2.8935560332947459</c:v>
                </c:pt>
                <c:pt idx="2">
                  <c:v>2.3829832975028955</c:v>
                </c:pt>
                <c:pt idx="3">
                  <c:v>-2.5876908659941567</c:v>
                </c:pt>
                <c:pt idx="4">
                  <c:v>-1.6869577200815828</c:v>
                </c:pt>
                <c:pt idx="5">
                  <c:v>2.0829832975028948</c:v>
                </c:pt>
                <c:pt idx="6">
                  <c:v>2.6049776748801063</c:v>
                </c:pt>
                <c:pt idx="7">
                  <c:v>-2.2104183892839417</c:v>
                </c:pt>
                <c:pt idx="8">
                  <c:v>-2.0060195138084991</c:v>
                </c:pt>
                <c:pt idx="9">
                  <c:v>3.9086434044429752</c:v>
                </c:pt>
                <c:pt idx="10">
                  <c:v>-2.1192161402348257</c:v>
                </c:pt>
                <c:pt idx="11">
                  <c:v>-2.5862245741690093</c:v>
                </c:pt>
                <c:pt idx="12">
                  <c:v>2.7064439667052542</c:v>
                </c:pt>
                <c:pt idx="13">
                  <c:v>-2.7045532219833515</c:v>
                </c:pt>
                <c:pt idx="14">
                  <c:v>3.8137754258309906</c:v>
                </c:pt>
                <c:pt idx="15">
                  <c:v>2.0947136321040745</c:v>
                </c:pt>
                <c:pt idx="16">
                  <c:v>9.6179923929221367E-2</c:v>
                </c:pt>
                <c:pt idx="17">
                  <c:v>-1.6979549087701886</c:v>
                </c:pt>
                <c:pt idx="18">
                  <c:v>-1.3972217628576145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55-444A-8A07-02486ECE4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344559"/>
        <c:axId val="1775345039"/>
      </c:scatterChart>
      <c:valAx>
        <c:axId val="1775344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68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5345039"/>
        <c:crosses val="autoZero"/>
        <c:crossBetween val="midCat"/>
      </c:valAx>
      <c:valAx>
        <c:axId val="17753450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534455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68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Sheet!$C$3:$C$21</c:f>
              <c:numCache>
                <c:formatCode>General</c:formatCode>
                <c:ptCount val="19"/>
                <c:pt idx="0">
                  <c:v>78</c:v>
                </c:pt>
                <c:pt idx="1">
                  <c:v>88</c:v>
                </c:pt>
                <c:pt idx="2">
                  <c:v>56</c:v>
                </c:pt>
                <c:pt idx="3">
                  <c:v>96</c:v>
                </c:pt>
                <c:pt idx="4">
                  <c:v>97</c:v>
                </c:pt>
                <c:pt idx="5">
                  <c:v>56</c:v>
                </c:pt>
                <c:pt idx="6">
                  <c:v>86</c:v>
                </c:pt>
                <c:pt idx="7">
                  <c:v>65</c:v>
                </c:pt>
                <c:pt idx="8">
                  <c:v>71</c:v>
                </c:pt>
                <c:pt idx="9">
                  <c:v>91</c:v>
                </c:pt>
                <c:pt idx="10">
                  <c:v>53</c:v>
                </c:pt>
                <c:pt idx="11">
                  <c:v>98</c:v>
                </c:pt>
                <c:pt idx="12">
                  <c:v>88</c:v>
                </c:pt>
                <c:pt idx="13">
                  <c:v>73</c:v>
                </c:pt>
                <c:pt idx="14">
                  <c:v>98</c:v>
                </c:pt>
                <c:pt idx="15">
                  <c:v>72</c:v>
                </c:pt>
                <c:pt idx="16">
                  <c:v>74</c:v>
                </c:pt>
                <c:pt idx="17">
                  <c:v>82</c:v>
                </c:pt>
                <c:pt idx="18">
                  <c:v>83</c:v>
                </c:pt>
              </c:numCache>
            </c:numRef>
          </c:xVal>
          <c:yVal>
            <c:numRef>
              <c:f>Sheet!$D$3:$D$21</c:f>
              <c:numCache>
                <c:formatCode>General</c:formatCode>
                <c:ptCount val="19"/>
                <c:pt idx="0">
                  <c:v>6.2</c:v>
                </c:pt>
                <c:pt idx="1">
                  <c:v>1.1000000000000001</c:v>
                </c:pt>
                <c:pt idx="2">
                  <c:v>6.4</c:v>
                </c:pt>
                <c:pt idx="3">
                  <c:v>1.4</c:v>
                </c:pt>
                <c:pt idx="4">
                  <c:v>2.2999999999999998</c:v>
                </c:pt>
                <c:pt idx="5">
                  <c:v>6.1</c:v>
                </c:pt>
                <c:pt idx="6">
                  <c:v>6.6</c:v>
                </c:pt>
                <c:pt idx="7">
                  <c:v>1.8</c:v>
                </c:pt>
                <c:pt idx="8">
                  <c:v>2</c:v>
                </c:pt>
                <c:pt idx="9">
                  <c:v>7.9</c:v>
                </c:pt>
                <c:pt idx="10">
                  <c:v>1.9</c:v>
                </c:pt>
                <c:pt idx="11">
                  <c:v>1.4</c:v>
                </c:pt>
                <c:pt idx="12">
                  <c:v>6.7</c:v>
                </c:pt>
                <c:pt idx="13">
                  <c:v>1.3</c:v>
                </c:pt>
                <c:pt idx="14">
                  <c:v>7.8</c:v>
                </c:pt>
                <c:pt idx="15">
                  <c:v>6.1</c:v>
                </c:pt>
                <c:pt idx="16">
                  <c:v>4.0999999999999996</c:v>
                </c:pt>
                <c:pt idx="17">
                  <c:v>2.2999999999999998</c:v>
                </c:pt>
                <c:pt idx="18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B3-499C-AAEB-1FAB31532CA8}"/>
            </c:ext>
          </c:extLst>
        </c:ser>
        <c:ser>
          <c:idx val="1"/>
          <c:order val="1"/>
          <c:tx>
            <c:v>Predicted 3.7</c:v>
          </c:tx>
          <c:spPr>
            <a:ln w="28575">
              <a:noFill/>
            </a:ln>
          </c:spPr>
          <c:xVal>
            <c:numRef>
              <c:f>Sheet!$C$3:$C$21</c:f>
              <c:numCache>
                <c:formatCode>General</c:formatCode>
                <c:ptCount val="19"/>
                <c:pt idx="0">
                  <c:v>78</c:v>
                </c:pt>
                <c:pt idx="1">
                  <c:v>88</c:v>
                </c:pt>
                <c:pt idx="2">
                  <c:v>56</c:v>
                </c:pt>
                <c:pt idx="3">
                  <c:v>96</c:v>
                </c:pt>
                <c:pt idx="4">
                  <c:v>97</c:v>
                </c:pt>
                <c:pt idx="5">
                  <c:v>56</c:v>
                </c:pt>
                <c:pt idx="6">
                  <c:v>86</c:v>
                </c:pt>
                <c:pt idx="7">
                  <c:v>65</c:v>
                </c:pt>
                <c:pt idx="8">
                  <c:v>71</c:v>
                </c:pt>
                <c:pt idx="9">
                  <c:v>91</c:v>
                </c:pt>
                <c:pt idx="10">
                  <c:v>53</c:v>
                </c:pt>
                <c:pt idx="11">
                  <c:v>98</c:v>
                </c:pt>
                <c:pt idx="12">
                  <c:v>88</c:v>
                </c:pt>
                <c:pt idx="13">
                  <c:v>73</c:v>
                </c:pt>
                <c:pt idx="14">
                  <c:v>98</c:v>
                </c:pt>
                <c:pt idx="15">
                  <c:v>72</c:v>
                </c:pt>
                <c:pt idx="16">
                  <c:v>74</c:v>
                </c:pt>
                <c:pt idx="17">
                  <c:v>82</c:v>
                </c:pt>
                <c:pt idx="18">
                  <c:v>83</c:v>
                </c:pt>
              </c:numCache>
            </c:numRef>
          </c:xVal>
          <c:yVal>
            <c:numRef>
              <c:f>Sheet1!$B$25:$B$43</c:f>
              <c:numCache>
                <c:formatCode>General</c:formatCode>
                <c:ptCount val="19"/>
                <c:pt idx="0">
                  <c:v>4.0008874924204836</c:v>
                </c:pt>
                <c:pt idx="1">
                  <c:v>3.993556033294746</c:v>
                </c:pt>
                <c:pt idx="2">
                  <c:v>4.0170167024971049</c:v>
                </c:pt>
                <c:pt idx="3">
                  <c:v>3.9876908659941566</c:v>
                </c:pt>
                <c:pt idx="4">
                  <c:v>3.9869577200815827</c:v>
                </c:pt>
                <c:pt idx="5">
                  <c:v>4.0170167024971049</c:v>
                </c:pt>
                <c:pt idx="6">
                  <c:v>3.9950223251198933</c:v>
                </c:pt>
                <c:pt idx="7">
                  <c:v>4.0104183892839416</c:v>
                </c:pt>
                <c:pt idx="8">
                  <c:v>4.0060195138084991</c:v>
                </c:pt>
                <c:pt idx="9">
                  <c:v>3.9913565955570252</c:v>
                </c:pt>
                <c:pt idx="10">
                  <c:v>4.0192161402348257</c:v>
                </c:pt>
                <c:pt idx="11">
                  <c:v>3.9862245741690092</c:v>
                </c:pt>
                <c:pt idx="12">
                  <c:v>3.993556033294746</c:v>
                </c:pt>
                <c:pt idx="13">
                  <c:v>4.0045532219833513</c:v>
                </c:pt>
                <c:pt idx="14">
                  <c:v>3.9862245741690092</c:v>
                </c:pt>
                <c:pt idx="15">
                  <c:v>4.0052863678959252</c:v>
                </c:pt>
                <c:pt idx="16">
                  <c:v>4.0038200760707783</c:v>
                </c:pt>
                <c:pt idx="17">
                  <c:v>3.9979549087701884</c:v>
                </c:pt>
                <c:pt idx="18">
                  <c:v>3.9972217628576145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B3-499C-AAEB-1FAB31532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343599"/>
        <c:axId val="1711528495"/>
      </c:scatterChart>
      <c:valAx>
        <c:axId val="1775343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68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11528495"/>
        <c:crosses val="autoZero"/>
        <c:crossBetween val="midCat"/>
      </c:valAx>
      <c:valAx>
        <c:axId val="17115284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3.7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534359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Sheet1!$F$25:$F$43</c:f>
              <c:numCache>
                <c:formatCode>General</c:formatCode>
                <c:ptCount val="19"/>
                <c:pt idx="0">
                  <c:v>2.6315789473684212</c:v>
                </c:pt>
                <c:pt idx="1">
                  <c:v>7.8947368421052637</c:v>
                </c:pt>
                <c:pt idx="2">
                  <c:v>13.157894736842106</c:v>
                </c:pt>
                <c:pt idx="3">
                  <c:v>18.421052631578949</c:v>
                </c:pt>
                <c:pt idx="4">
                  <c:v>23.684210526315791</c:v>
                </c:pt>
                <c:pt idx="5">
                  <c:v>28.947368421052634</c:v>
                </c:pt>
                <c:pt idx="6">
                  <c:v>34.21052631578948</c:v>
                </c:pt>
                <c:pt idx="7">
                  <c:v>39.473684210526315</c:v>
                </c:pt>
                <c:pt idx="8">
                  <c:v>44.736842105263165</c:v>
                </c:pt>
                <c:pt idx="9">
                  <c:v>50</c:v>
                </c:pt>
                <c:pt idx="10">
                  <c:v>55.26315789473685</c:v>
                </c:pt>
                <c:pt idx="11">
                  <c:v>60.526315789473685</c:v>
                </c:pt>
                <c:pt idx="12">
                  <c:v>65.789473684210535</c:v>
                </c:pt>
                <c:pt idx="13">
                  <c:v>71.052631578947384</c:v>
                </c:pt>
                <c:pt idx="14">
                  <c:v>76.31578947368422</c:v>
                </c:pt>
                <c:pt idx="15">
                  <c:v>81.578947368421055</c:v>
                </c:pt>
                <c:pt idx="16">
                  <c:v>86.842105263157904</c:v>
                </c:pt>
                <c:pt idx="17">
                  <c:v>92.105263157894754</c:v>
                </c:pt>
                <c:pt idx="18">
                  <c:v>97.368421052631589</c:v>
                </c:pt>
              </c:numCache>
            </c:numRef>
          </c:xVal>
          <c:yVal>
            <c:numRef>
              <c:f>Sheet1!$G$25:$G$43</c:f>
              <c:numCache>
                <c:formatCode>General</c:formatCode>
                <c:ptCount val="19"/>
                <c:pt idx="0">
                  <c:v>1.1000000000000001</c:v>
                </c:pt>
                <c:pt idx="1">
                  <c:v>1.3</c:v>
                </c:pt>
                <c:pt idx="2">
                  <c:v>1.4</c:v>
                </c:pt>
                <c:pt idx="3">
                  <c:v>1.4</c:v>
                </c:pt>
                <c:pt idx="4">
                  <c:v>1.8</c:v>
                </c:pt>
                <c:pt idx="5">
                  <c:v>1.9</c:v>
                </c:pt>
                <c:pt idx="6">
                  <c:v>2</c:v>
                </c:pt>
                <c:pt idx="7">
                  <c:v>2.2999999999999998</c:v>
                </c:pt>
                <c:pt idx="8">
                  <c:v>2.2999999999999998</c:v>
                </c:pt>
                <c:pt idx="9">
                  <c:v>2.6</c:v>
                </c:pt>
                <c:pt idx="10">
                  <c:v>4.0999999999999996</c:v>
                </c:pt>
                <c:pt idx="11">
                  <c:v>6.1</c:v>
                </c:pt>
                <c:pt idx="12">
                  <c:v>6.1</c:v>
                </c:pt>
                <c:pt idx="13">
                  <c:v>6.2</c:v>
                </c:pt>
                <c:pt idx="14">
                  <c:v>6.4</c:v>
                </c:pt>
                <c:pt idx="15">
                  <c:v>6.6</c:v>
                </c:pt>
                <c:pt idx="16">
                  <c:v>6.7</c:v>
                </c:pt>
                <c:pt idx="17">
                  <c:v>7.8</c:v>
                </c:pt>
                <c:pt idx="18">
                  <c:v>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AE-4698-B43B-A2F75DF2A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508895"/>
        <c:axId val="1973505535"/>
      </c:scatterChart>
      <c:valAx>
        <c:axId val="1973508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73505535"/>
        <c:crosses val="autoZero"/>
        <c:crossBetween val="midCat"/>
      </c:valAx>
      <c:valAx>
        <c:axId val="19735055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3.7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735088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Sheet!$C$1</c:f>
              <c:strCache>
                <c:ptCount val="1"/>
                <c:pt idx="0">
                  <c:v>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Sheet!$A$2:$B$21</c:f>
              <c:multiLvlStrCache>
                <c:ptCount val="20"/>
                <c:lvl>
                  <c:pt idx="0">
                    <c:v>Divya</c:v>
                  </c:pt>
                  <c:pt idx="1">
                    <c:v>Sneha</c:v>
                  </c:pt>
                  <c:pt idx="2">
                    <c:v>Rahul</c:v>
                  </c:pt>
                  <c:pt idx="3">
                    <c:v>Priya</c:v>
                  </c:pt>
                  <c:pt idx="4">
                    <c:v>Sneha</c:v>
                  </c:pt>
                  <c:pt idx="5">
                    <c:v>Rohit</c:v>
                  </c:pt>
                  <c:pt idx="6">
                    <c:v>Vikram</c:v>
                  </c:pt>
                  <c:pt idx="7">
                    <c:v>Sneha</c:v>
                  </c:pt>
                  <c:pt idx="8">
                    <c:v>Sneha</c:v>
                  </c:pt>
                  <c:pt idx="9">
                    <c:v>Ananya</c:v>
                  </c:pt>
                  <c:pt idx="10">
                    <c:v>Sneha</c:v>
                  </c:pt>
                  <c:pt idx="11">
                    <c:v>Nikhil</c:v>
                  </c:pt>
                  <c:pt idx="12">
                    <c:v>Kiran</c:v>
                  </c:pt>
                  <c:pt idx="13">
                    <c:v>Vikram</c:v>
                  </c:pt>
                  <c:pt idx="14">
                    <c:v>Divya</c:v>
                  </c:pt>
                  <c:pt idx="15">
                    <c:v>Sneha</c:v>
                  </c:pt>
                  <c:pt idx="16">
                    <c:v>Kiran</c:v>
                  </c:pt>
                  <c:pt idx="17">
                    <c:v>Ananya</c:v>
                  </c:pt>
                  <c:pt idx="18">
                    <c:v>Sneha</c:v>
                  </c:pt>
                  <c:pt idx="19">
                    <c:v>Arjun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Sheet!$C$2:$C$21</c:f>
              <c:numCache>
                <c:formatCode>General</c:formatCode>
                <c:ptCount val="20"/>
                <c:pt idx="0">
                  <c:v>68</c:v>
                </c:pt>
                <c:pt idx="1">
                  <c:v>78</c:v>
                </c:pt>
                <c:pt idx="2">
                  <c:v>88</c:v>
                </c:pt>
                <c:pt idx="3">
                  <c:v>56</c:v>
                </c:pt>
                <c:pt idx="4">
                  <c:v>96</c:v>
                </c:pt>
                <c:pt idx="5">
                  <c:v>97</c:v>
                </c:pt>
                <c:pt idx="6">
                  <c:v>56</c:v>
                </c:pt>
                <c:pt idx="7">
                  <c:v>86</c:v>
                </c:pt>
                <c:pt idx="8">
                  <c:v>65</c:v>
                </c:pt>
                <c:pt idx="9">
                  <c:v>71</c:v>
                </c:pt>
                <c:pt idx="10">
                  <c:v>91</c:v>
                </c:pt>
                <c:pt idx="11">
                  <c:v>53</c:v>
                </c:pt>
                <c:pt idx="12">
                  <c:v>98</c:v>
                </c:pt>
                <c:pt idx="13">
                  <c:v>88</c:v>
                </c:pt>
                <c:pt idx="14">
                  <c:v>73</c:v>
                </c:pt>
                <c:pt idx="15">
                  <c:v>98</c:v>
                </c:pt>
                <c:pt idx="16">
                  <c:v>72</c:v>
                </c:pt>
                <c:pt idx="17">
                  <c:v>74</c:v>
                </c:pt>
                <c:pt idx="18">
                  <c:v>82</c:v>
                </c:pt>
                <c:pt idx="19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8-44A1-91B3-518B5ED0B93D}"/>
            </c:ext>
          </c:extLst>
        </c:ser>
        <c:ser>
          <c:idx val="1"/>
          <c:order val="1"/>
          <c:tx>
            <c:strRef>
              <c:f>Sheet!$D$1</c:f>
              <c:strCache>
                <c:ptCount val="1"/>
                <c:pt idx="0">
                  <c:v>Study_Hours_Per_Day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Sheet!$A$2:$B$21</c:f>
              <c:multiLvlStrCache>
                <c:ptCount val="20"/>
                <c:lvl>
                  <c:pt idx="0">
                    <c:v>Divya</c:v>
                  </c:pt>
                  <c:pt idx="1">
                    <c:v>Sneha</c:v>
                  </c:pt>
                  <c:pt idx="2">
                    <c:v>Rahul</c:v>
                  </c:pt>
                  <c:pt idx="3">
                    <c:v>Priya</c:v>
                  </c:pt>
                  <c:pt idx="4">
                    <c:v>Sneha</c:v>
                  </c:pt>
                  <c:pt idx="5">
                    <c:v>Rohit</c:v>
                  </c:pt>
                  <c:pt idx="6">
                    <c:v>Vikram</c:v>
                  </c:pt>
                  <c:pt idx="7">
                    <c:v>Sneha</c:v>
                  </c:pt>
                  <c:pt idx="8">
                    <c:v>Sneha</c:v>
                  </c:pt>
                  <c:pt idx="9">
                    <c:v>Ananya</c:v>
                  </c:pt>
                  <c:pt idx="10">
                    <c:v>Sneha</c:v>
                  </c:pt>
                  <c:pt idx="11">
                    <c:v>Nikhil</c:v>
                  </c:pt>
                  <c:pt idx="12">
                    <c:v>Kiran</c:v>
                  </c:pt>
                  <c:pt idx="13">
                    <c:v>Vikram</c:v>
                  </c:pt>
                  <c:pt idx="14">
                    <c:v>Divya</c:v>
                  </c:pt>
                  <c:pt idx="15">
                    <c:v>Sneha</c:v>
                  </c:pt>
                  <c:pt idx="16">
                    <c:v>Kiran</c:v>
                  </c:pt>
                  <c:pt idx="17">
                    <c:v>Ananya</c:v>
                  </c:pt>
                  <c:pt idx="18">
                    <c:v>Sneha</c:v>
                  </c:pt>
                  <c:pt idx="19">
                    <c:v>Arjun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Sheet!$D$2:$D$21</c:f>
              <c:numCache>
                <c:formatCode>General</c:formatCode>
                <c:ptCount val="20"/>
                <c:pt idx="0">
                  <c:v>3.7</c:v>
                </c:pt>
                <c:pt idx="1">
                  <c:v>6.2</c:v>
                </c:pt>
                <c:pt idx="2">
                  <c:v>1.1000000000000001</c:v>
                </c:pt>
                <c:pt idx="3">
                  <c:v>6.4</c:v>
                </c:pt>
                <c:pt idx="4">
                  <c:v>1.4</c:v>
                </c:pt>
                <c:pt idx="5">
                  <c:v>2.2999999999999998</c:v>
                </c:pt>
                <c:pt idx="6">
                  <c:v>6.1</c:v>
                </c:pt>
                <c:pt idx="7">
                  <c:v>6.6</c:v>
                </c:pt>
                <c:pt idx="8">
                  <c:v>1.8</c:v>
                </c:pt>
                <c:pt idx="9">
                  <c:v>2</c:v>
                </c:pt>
                <c:pt idx="10">
                  <c:v>7.9</c:v>
                </c:pt>
                <c:pt idx="11">
                  <c:v>1.9</c:v>
                </c:pt>
                <c:pt idx="12">
                  <c:v>1.4</c:v>
                </c:pt>
                <c:pt idx="13">
                  <c:v>6.7</c:v>
                </c:pt>
                <c:pt idx="14">
                  <c:v>1.3</c:v>
                </c:pt>
                <c:pt idx="15">
                  <c:v>7.8</c:v>
                </c:pt>
                <c:pt idx="16">
                  <c:v>6.1</c:v>
                </c:pt>
                <c:pt idx="17">
                  <c:v>4.0999999999999996</c:v>
                </c:pt>
                <c:pt idx="18">
                  <c:v>2.2999999999999998</c:v>
                </c:pt>
                <c:pt idx="19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F8-44A1-91B3-518B5ED0B93D}"/>
            </c:ext>
          </c:extLst>
        </c:ser>
        <c:ser>
          <c:idx val="2"/>
          <c:order val="2"/>
          <c:tx>
            <c:strRef>
              <c:f>Sheet!$E$1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Sheet!$A$2:$B$21</c:f>
              <c:multiLvlStrCache>
                <c:ptCount val="20"/>
                <c:lvl>
                  <c:pt idx="0">
                    <c:v>Divya</c:v>
                  </c:pt>
                  <c:pt idx="1">
                    <c:v>Sneha</c:v>
                  </c:pt>
                  <c:pt idx="2">
                    <c:v>Rahul</c:v>
                  </c:pt>
                  <c:pt idx="3">
                    <c:v>Priya</c:v>
                  </c:pt>
                  <c:pt idx="4">
                    <c:v>Sneha</c:v>
                  </c:pt>
                  <c:pt idx="5">
                    <c:v>Rohit</c:v>
                  </c:pt>
                  <c:pt idx="6">
                    <c:v>Vikram</c:v>
                  </c:pt>
                  <c:pt idx="7">
                    <c:v>Sneha</c:v>
                  </c:pt>
                  <c:pt idx="8">
                    <c:v>Sneha</c:v>
                  </c:pt>
                  <c:pt idx="9">
                    <c:v>Ananya</c:v>
                  </c:pt>
                  <c:pt idx="10">
                    <c:v>Sneha</c:v>
                  </c:pt>
                  <c:pt idx="11">
                    <c:v>Nikhil</c:v>
                  </c:pt>
                  <c:pt idx="12">
                    <c:v>Kiran</c:v>
                  </c:pt>
                  <c:pt idx="13">
                    <c:v>Vikram</c:v>
                  </c:pt>
                  <c:pt idx="14">
                    <c:v>Divya</c:v>
                  </c:pt>
                  <c:pt idx="15">
                    <c:v>Sneha</c:v>
                  </c:pt>
                  <c:pt idx="16">
                    <c:v>Kiran</c:v>
                  </c:pt>
                  <c:pt idx="17">
                    <c:v>Ananya</c:v>
                  </c:pt>
                  <c:pt idx="18">
                    <c:v>Sneha</c:v>
                  </c:pt>
                  <c:pt idx="19">
                    <c:v>Arjun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Sheet!$E$2:$E$21</c:f>
              <c:numCache>
                <c:formatCode>General</c:formatCode>
                <c:ptCount val="20"/>
                <c:pt idx="0">
                  <c:v>78.650000000000006</c:v>
                </c:pt>
                <c:pt idx="1">
                  <c:v>78.650000000000006</c:v>
                </c:pt>
                <c:pt idx="2">
                  <c:v>78.650000000000006</c:v>
                </c:pt>
                <c:pt idx="3">
                  <c:v>78.650000000000006</c:v>
                </c:pt>
                <c:pt idx="4">
                  <c:v>78.650000000000006</c:v>
                </c:pt>
                <c:pt idx="5">
                  <c:v>78.650000000000006</c:v>
                </c:pt>
                <c:pt idx="6">
                  <c:v>78.650000000000006</c:v>
                </c:pt>
                <c:pt idx="7">
                  <c:v>78.650000000000006</c:v>
                </c:pt>
                <c:pt idx="8">
                  <c:v>78.650000000000006</c:v>
                </c:pt>
                <c:pt idx="9">
                  <c:v>78.650000000000006</c:v>
                </c:pt>
                <c:pt idx="10">
                  <c:v>78.650000000000006</c:v>
                </c:pt>
                <c:pt idx="11">
                  <c:v>78.650000000000006</c:v>
                </c:pt>
                <c:pt idx="12">
                  <c:v>78.650000000000006</c:v>
                </c:pt>
                <c:pt idx="13">
                  <c:v>78.650000000000006</c:v>
                </c:pt>
                <c:pt idx="14">
                  <c:v>78.650000000000006</c:v>
                </c:pt>
                <c:pt idx="15">
                  <c:v>78.650000000000006</c:v>
                </c:pt>
                <c:pt idx="16">
                  <c:v>78.650000000000006</c:v>
                </c:pt>
                <c:pt idx="17">
                  <c:v>78.650000000000006</c:v>
                </c:pt>
                <c:pt idx="18">
                  <c:v>78.650000000000006</c:v>
                </c:pt>
                <c:pt idx="19">
                  <c:v>78.650000000000006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F8-44A1-91B3-518B5ED0B93D}"/>
            </c:ext>
          </c:extLst>
        </c:ser>
        <c:ser>
          <c:idx val="3"/>
          <c:order val="3"/>
          <c:tx>
            <c:strRef>
              <c:f>Sheet!$F$1</c:f>
              <c:strCache>
                <c:ptCount val="1"/>
                <c:pt idx="0">
                  <c:v>MEDIAN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Sheet!$A$2:$B$21</c:f>
              <c:multiLvlStrCache>
                <c:ptCount val="20"/>
                <c:lvl>
                  <c:pt idx="0">
                    <c:v>Divya</c:v>
                  </c:pt>
                  <c:pt idx="1">
                    <c:v>Sneha</c:v>
                  </c:pt>
                  <c:pt idx="2">
                    <c:v>Rahul</c:v>
                  </c:pt>
                  <c:pt idx="3">
                    <c:v>Priya</c:v>
                  </c:pt>
                  <c:pt idx="4">
                    <c:v>Sneha</c:v>
                  </c:pt>
                  <c:pt idx="5">
                    <c:v>Rohit</c:v>
                  </c:pt>
                  <c:pt idx="6">
                    <c:v>Vikram</c:v>
                  </c:pt>
                  <c:pt idx="7">
                    <c:v>Sneha</c:v>
                  </c:pt>
                  <c:pt idx="8">
                    <c:v>Sneha</c:v>
                  </c:pt>
                  <c:pt idx="9">
                    <c:v>Ananya</c:v>
                  </c:pt>
                  <c:pt idx="10">
                    <c:v>Sneha</c:v>
                  </c:pt>
                  <c:pt idx="11">
                    <c:v>Nikhil</c:v>
                  </c:pt>
                  <c:pt idx="12">
                    <c:v>Kiran</c:v>
                  </c:pt>
                  <c:pt idx="13">
                    <c:v>Vikram</c:v>
                  </c:pt>
                  <c:pt idx="14">
                    <c:v>Divya</c:v>
                  </c:pt>
                  <c:pt idx="15">
                    <c:v>Sneha</c:v>
                  </c:pt>
                  <c:pt idx="16">
                    <c:v>Kiran</c:v>
                  </c:pt>
                  <c:pt idx="17">
                    <c:v>Ananya</c:v>
                  </c:pt>
                  <c:pt idx="18">
                    <c:v>Sneha</c:v>
                  </c:pt>
                  <c:pt idx="19">
                    <c:v>Arjun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Sheet!$F$2:$F$21</c:f>
              <c:numCache>
                <c:formatCode>General</c:formatCode>
                <c:ptCount val="20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F8-44A1-91B3-518B5ED0B93D}"/>
            </c:ext>
          </c:extLst>
        </c:ser>
        <c:ser>
          <c:idx val="4"/>
          <c:order val="4"/>
          <c:tx>
            <c:strRef>
              <c:f>Sheet!$G$1</c:f>
              <c:strCache>
                <c:ptCount val="1"/>
                <c:pt idx="0">
                  <c:v>MODE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Sheet!$A$2:$B$21</c:f>
              <c:multiLvlStrCache>
                <c:ptCount val="20"/>
                <c:lvl>
                  <c:pt idx="0">
                    <c:v>Divya</c:v>
                  </c:pt>
                  <c:pt idx="1">
                    <c:v>Sneha</c:v>
                  </c:pt>
                  <c:pt idx="2">
                    <c:v>Rahul</c:v>
                  </c:pt>
                  <c:pt idx="3">
                    <c:v>Priya</c:v>
                  </c:pt>
                  <c:pt idx="4">
                    <c:v>Sneha</c:v>
                  </c:pt>
                  <c:pt idx="5">
                    <c:v>Rohit</c:v>
                  </c:pt>
                  <c:pt idx="6">
                    <c:v>Vikram</c:v>
                  </c:pt>
                  <c:pt idx="7">
                    <c:v>Sneha</c:v>
                  </c:pt>
                  <c:pt idx="8">
                    <c:v>Sneha</c:v>
                  </c:pt>
                  <c:pt idx="9">
                    <c:v>Ananya</c:v>
                  </c:pt>
                  <c:pt idx="10">
                    <c:v>Sneha</c:v>
                  </c:pt>
                  <c:pt idx="11">
                    <c:v>Nikhil</c:v>
                  </c:pt>
                  <c:pt idx="12">
                    <c:v>Kiran</c:v>
                  </c:pt>
                  <c:pt idx="13">
                    <c:v>Vikram</c:v>
                  </c:pt>
                  <c:pt idx="14">
                    <c:v>Divya</c:v>
                  </c:pt>
                  <c:pt idx="15">
                    <c:v>Sneha</c:v>
                  </c:pt>
                  <c:pt idx="16">
                    <c:v>Kiran</c:v>
                  </c:pt>
                  <c:pt idx="17">
                    <c:v>Ananya</c:v>
                  </c:pt>
                  <c:pt idx="18">
                    <c:v>Sneha</c:v>
                  </c:pt>
                  <c:pt idx="19">
                    <c:v>Arjun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Sheet!$G$2:$G$21</c:f>
              <c:numCache>
                <c:formatCode>General</c:formatCode>
                <c:ptCount val="20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  <c:pt idx="7">
                  <c:v>88</c:v>
                </c:pt>
                <c:pt idx="8">
                  <c:v>88</c:v>
                </c:pt>
                <c:pt idx="9">
                  <c:v>88</c:v>
                </c:pt>
                <c:pt idx="10">
                  <c:v>88</c:v>
                </c:pt>
                <c:pt idx="11">
                  <c:v>88</c:v>
                </c:pt>
                <c:pt idx="12">
                  <c:v>88</c:v>
                </c:pt>
                <c:pt idx="13">
                  <c:v>88</c:v>
                </c:pt>
                <c:pt idx="14">
                  <c:v>88</c:v>
                </c:pt>
                <c:pt idx="15">
                  <c:v>88</c:v>
                </c:pt>
                <c:pt idx="16">
                  <c:v>88</c:v>
                </c:pt>
                <c:pt idx="17">
                  <c:v>88</c:v>
                </c:pt>
                <c:pt idx="18">
                  <c:v>88</c:v>
                </c:pt>
                <c:pt idx="19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F8-44A1-91B3-518B5ED0B93D}"/>
            </c:ext>
          </c:extLst>
        </c:ser>
        <c:ser>
          <c:idx val="5"/>
          <c:order val="5"/>
          <c:tx>
            <c:strRef>
              <c:f>Sheet!$H$1</c:f>
              <c:strCache>
                <c:ptCount val="1"/>
                <c:pt idx="0">
                  <c:v>RANGE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Sheet!$A$2:$B$21</c:f>
              <c:multiLvlStrCache>
                <c:ptCount val="20"/>
                <c:lvl>
                  <c:pt idx="0">
                    <c:v>Divya</c:v>
                  </c:pt>
                  <c:pt idx="1">
                    <c:v>Sneha</c:v>
                  </c:pt>
                  <c:pt idx="2">
                    <c:v>Rahul</c:v>
                  </c:pt>
                  <c:pt idx="3">
                    <c:v>Priya</c:v>
                  </c:pt>
                  <c:pt idx="4">
                    <c:v>Sneha</c:v>
                  </c:pt>
                  <c:pt idx="5">
                    <c:v>Rohit</c:v>
                  </c:pt>
                  <c:pt idx="6">
                    <c:v>Vikram</c:v>
                  </c:pt>
                  <c:pt idx="7">
                    <c:v>Sneha</c:v>
                  </c:pt>
                  <c:pt idx="8">
                    <c:v>Sneha</c:v>
                  </c:pt>
                  <c:pt idx="9">
                    <c:v>Ananya</c:v>
                  </c:pt>
                  <c:pt idx="10">
                    <c:v>Sneha</c:v>
                  </c:pt>
                  <c:pt idx="11">
                    <c:v>Nikhil</c:v>
                  </c:pt>
                  <c:pt idx="12">
                    <c:v>Kiran</c:v>
                  </c:pt>
                  <c:pt idx="13">
                    <c:v>Vikram</c:v>
                  </c:pt>
                  <c:pt idx="14">
                    <c:v>Divya</c:v>
                  </c:pt>
                  <c:pt idx="15">
                    <c:v>Sneha</c:v>
                  </c:pt>
                  <c:pt idx="16">
                    <c:v>Kiran</c:v>
                  </c:pt>
                  <c:pt idx="17">
                    <c:v>Ananya</c:v>
                  </c:pt>
                  <c:pt idx="18">
                    <c:v>Sneha</c:v>
                  </c:pt>
                  <c:pt idx="19">
                    <c:v>Arjun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Sheet!$H$2:$H$21</c:f>
              <c:numCache>
                <c:formatCode>General</c:formatCode>
                <c:ptCount val="2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F8-44A1-91B3-518B5ED0B93D}"/>
            </c:ext>
          </c:extLst>
        </c:ser>
        <c:ser>
          <c:idx val="6"/>
          <c:order val="6"/>
          <c:tx>
            <c:strRef>
              <c:f>Sheet!$I$1</c:f>
              <c:strCache>
                <c:ptCount val="1"/>
                <c:pt idx="0">
                  <c:v>VARIANCE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Sheet!$A$2:$B$21</c:f>
              <c:multiLvlStrCache>
                <c:ptCount val="20"/>
                <c:lvl>
                  <c:pt idx="0">
                    <c:v>Divya</c:v>
                  </c:pt>
                  <c:pt idx="1">
                    <c:v>Sneha</c:v>
                  </c:pt>
                  <c:pt idx="2">
                    <c:v>Rahul</c:v>
                  </c:pt>
                  <c:pt idx="3">
                    <c:v>Priya</c:v>
                  </c:pt>
                  <c:pt idx="4">
                    <c:v>Sneha</c:v>
                  </c:pt>
                  <c:pt idx="5">
                    <c:v>Rohit</c:v>
                  </c:pt>
                  <c:pt idx="6">
                    <c:v>Vikram</c:v>
                  </c:pt>
                  <c:pt idx="7">
                    <c:v>Sneha</c:v>
                  </c:pt>
                  <c:pt idx="8">
                    <c:v>Sneha</c:v>
                  </c:pt>
                  <c:pt idx="9">
                    <c:v>Ananya</c:v>
                  </c:pt>
                  <c:pt idx="10">
                    <c:v>Sneha</c:v>
                  </c:pt>
                  <c:pt idx="11">
                    <c:v>Nikhil</c:v>
                  </c:pt>
                  <c:pt idx="12">
                    <c:v>Kiran</c:v>
                  </c:pt>
                  <c:pt idx="13">
                    <c:v>Vikram</c:v>
                  </c:pt>
                  <c:pt idx="14">
                    <c:v>Divya</c:v>
                  </c:pt>
                  <c:pt idx="15">
                    <c:v>Sneha</c:v>
                  </c:pt>
                  <c:pt idx="16">
                    <c:v>Kiran</c:v>
                  </c:pt>
                  <c:pt idx="17">
                    <c:v>Ananya</c:v>
                  </c:pt>
                  <c:pt idx="18">
                    <c:v>Sneha</c:v>
                  </c:pt>
                  <c:pt idx="19">
                    <c:v>Arjun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Sheet!$I$2:$I$21</c:f>
              <c:numCache>
                <c:formatCode>General</c:formatCode>
                <c:ptCount val="20"/>
                <c:pt idx="0">
                  <c:v>207.29210526315805</c:v>
                </c:pt>
                <c:pt idx="1">
                  <c:v>207.29210526315805</c:v>
                </c:pt>
                <c:pt idx="2">
                  <c:v>207.29210526315805</c:v>
                </c:pt>
                <c:pt idx="3">
                  <c:v>207.29210526315805</c:v>
                </c:pt>
                <c:pt idx="4">
                  <c:v>207.29210526315805</c:v>
                </c:pt>
                <c:pt idx="5">
                  <c:v>207.29210526315805</c:v>
                </c:pt>
                <c:pt idx="6">
                  <c:v>207.29210526315805</c:v>
                </c:pt>
                <c:pt idx="7">
                  <c:v>207.29210526315805</c:v>
                </c:pt>
                <c:pt idx="8">
                  <c:v>207.29210526315805</c:v>
                </c:pt>
                <c:pt idx="9">
                  <c:v>207.29210526315805</c:v>
                </c:pt>
                <c:pt idx="10">
                  <c:v>207.29210526315805</c:v>
                </c:pt>
                <c:pt idx="11">
                  <c:v>207.29210526315805</c:v>
                </c:pt>
                <c:pt idx="12">
                  <c:v>207.29210526315805</c:v>
                </c:pt>
                <c:pt idx="13">
                  <c:v>207.29210526315805</c:v>
                </c:pt>
                <c:pt idx="14">
                  <c:v>207.29210526315805</c:v>
                </c:pt>
                <c:pt idx="15">
                  <c:v>207.29210526315805</c:v>
                </c:pt>
                <c:pt idx="16">
                  <c:v>207.29210526315805</c:v>
                </c:pt>
                <c:pt idx="17">
                  <c:v>207.29210526315805</c:v>
                </c:pt>
                <c:pt idx="18">
                  <c:v>207.29210526315805</c:v>
                </c:pt>
                <c:pt idx="19">
                  <c:v>207.29210526315805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F8-44A1-91B3-518B5ED0B93D}"/>
            </c:ext>
          </c:extLst>
        </c:ser>
        <c:ser>
          <c:idx val="7"/>
          <c:order val="7"/>
          <c:tx>
            <c:strRef>
              <c:f>Sheet!$J$1</c:f>
              <c:strCache>
                <c:ptCount val="1"/>
                <c:pt idx="0">
                  <c:v>Standard Deviation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Sheet!$A$2:$B$21</c:f>
              <c:multiLvlStrCache>
                <c:ptCount val="20"/>
                <c:lvl>
                  <c:pt idx="0">
                    <c:v>Divya</c:v>
                  </c:pt>
                  <c:pt idx="1">
                    <c:v>Sneha</c:v>
                  </c:pt>
                  <c:pt idx="2">
                    <c:v>Rahul</c:v>
                  </c:pt>
                  <c:pt idx="3">
                    <c:v>Priya</c:v>
                  </c:pt>
                  <c:pt idx="4">
                    <c:v>Sneha</c:v>
                  </c:pt>
                  <c:pt idx="5">
                    <c:v>Rohit</c:v>
                  </c:pt>
                  <c:pt idx="6">
                    <c:v>Vikram</c:v>
                  </c:pt>
                  <c:pt idx="7">
                    <c:v>Sneha</c:v>
                  </c:pt>
                  <c:pt idx="8">
                    <c:v>Sneha</c:v>
                  </c:pt>
                  <c:pt idx="9">
                    <c:v>Ananya</c:v>
                  </c:pt>
                  <c:pt idx="10">
                    <c:v>Sneha</c:v>
                  </c:pt>
                  <c:pt idx="11">
                    <c:v>Nikhil</c:v>
                  </c:pt>
                  <c:pt idx="12">
                    <c:v>Kiran</c:v>
                  </c:pt>
                  <c:pt idx="13">
                    <c:v>Vikram</c:v>
                  </c:pt>
                  <c:pt idx="14">
                    <c:v>Divya</c:v>
                  </c:pt>
                  <c:pt idx="15">
                    <c:v>Sneha</c:v>
                  </c:pt>
                  <c:pt idx="16">
                    <c:v>Kiran</c:v>
                  </c:pt>
                  <c:pt idx="17">
                    <c:v>Ananya</c:v>
                  </c:pt>
                  <c:pt idx="18">
                    <c:v>Sneha</c:v>
                  </c:pt>
                  <c:pt idx="19">
                    <c:v>Arjun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Sheet!$J$2:$J$21</c:f>
              <c:numCache>
                <c:formatCode>General</c:formatCode>
                <c:ptCount val="20"/>
                <c:pt idx="0">
                  <c:v>14.397642350855852</c:v>
                </c:pt>
                <c:pt idx="1">
                  <c:v>14.397642350855852</c:v>
                </c:pt>
                <c:pt idx="2">
                  <c:v>14.397642350855852</c:v>
                </c:pt>
                <c:pt idx="3">
                  <c:v>14.397642350855852</c:v>
                </c:pt>
                <c:pt idx="4">
                  <c:v>14.397642350855852</c:v>
                </c:pt>
                <c:pt idx="5">
                  <c:v>14.397642350855852</c:v>
                </c:pt>
                <c:pt idx="6">
                  <c:v>14.397642350855852</c:v>
                </c:pt>
                <c:pt idx="7">
                  <c:v>14.397642350855852</c:v>
                </c:pt>
                <c:pt idx="8">
                  <c:v>14.397642350855852</c:v>
                </c:pt>
                <c:pt idx="9">
                  <c:v>14.397642350855852</c:v>
                </c:pt>
                <c:pt idx="10">
                  <c:v>14.397642350855852</c:v>
                </c:pt>
                <c:pt idx="11">
                  <c:v>14.397642350855852</c:v>
                </c:pt>
                <c:pt idx="12">
                  <c:v>14.397642350855852</c:v>
                </c:pt>
                <c:pt idx="13">
                  <c:v>14.397642350855852</c:v>
                </c:pt>
                <c:pt idx="14">
                  <c:v>14.397642350855852</c:v>
                </c:pt>
                <c:pt idx="15">
                  <c:v>14.397642350855852</c:v>
                </c:pt>
                <c:pt idx="16">
                  <c:v>14.397642350855852</c:v>
                </c:pt>
                <c:pt idx="17">
                  <c:v>14.397642350855852</c:v>
                </c:pt>
                <c:pt idx="18">
                  <c:v>14.397642350855852</c:v>
                </c:pt>
                <c:pt idx="19">
                  <c:v>14.397642350855852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0F8-44A1-91B3-518B5ED0B93D}"/>
            </c:ext>
          </c:extLst>
        </c:ser>
        <c:ser>
          <c:idx val="8"/>
          <c:order val="8"/>
          <c:tx>
            <c:strRef>
              <c:f>Sheet!$K$1</c:f>
              <c:strCache>
                <c:ptCount val="1"/>
                <c:pt idx="0">
                  <c:v>CORRELATION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Sheet!$A$2:$B$21</c:f>
              <c:multiLvlStrCache>
                <c:ptCount val="20"/>
                <c:lvl>
                  <c:pt idx="0">
                    <c:v>Divya</c:v>
                  </c:pt>
                  <c:pt idx="1">
                    <c:v>Sneha</c:v>
                  </c:pt>
                  <c:pt idx="2">
                    <c:v>Rahul</c:v>
                  </c:pt>
                  <c:pt idx="3">
                    <c:v>Priya</c:v>
                  </c:pt>
                  <c:pt idx="4">
                    <c:v>Sneha</c:v>
                  </c:pt>
                  <c:pt idx="5">
                    <c:v>Rohit</c:v>
                  </c:pt>
                  <c:pt idx="6">
                    <c:v>Vikram</c:v>
                  </c:pt>
                  <c:pt idx="7">
                    <c:v>Sneha</c:v>
                  </c:pt>
                  <c:pt idx="8">
                    <c:v>Sneha</c:v>
                  </c:pt>
                  <c:pt idx="9">
                    <c:v>Ananya</c:v>
                  </c:pt>
                  <c:pt idx="10">
                    <c:v>Sneha</c:v>
                  </c:pt>
                  <c:pt idx="11">
                    <c:v>Nikhil</c:v>
                  </c:pt>
                  <c:pt idx="12">
                    <c:v>Kiran</c:v>
                  </c:pt>
                  <c:pt idx="13">
                    <c:v>Vikram</c:v>
                  </c:pt>
                  <c:pt idx="14">
                    <c:v>Divya</c:v>
                  </c:pt>
                  <c:pt idx="15">
                    <c:v>Sneha</c:v>
                  </c:pt>
                  <c:pt idx="16">
                    <c:v>Kiran</c:v>
                  </c:pt>
                  <c:pt idx="17">
                    <c:v>Ananya</c:v>
                  </c:pt>
                  <c:pt idx="18">
                    <c:v>Sneha</c:v>
                  </c:pt>
                  <c:pt idx="19">
                    <c:v>Arjun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Sheet!$K$2:$K$21</c:f>
              <c:numCache>
                <c:formatCode>General</c:formatCode>
                <c:ptCount val="20"/>
                <c:pt idx="0">
                  <c:v>5.9098106022016932E-4</c:v>
                </c:pt>
                <c:pt idx="1">
                  <c:v>5.9098106022016932E-4</c:v>
                </c:pt>
                <c:pt idx="2">
                  <c:v>5.9098106022016932E-4</c:v>
                </c:pt>
                <c:pt idx="3">
                  <c:v>5.9098106022016932E-4</c:v>
                </c:pt>
                <c:pt idx="4">
                  <c:v>5.9098106022016932E-4</c:v>
                </c:pt>
                <c:pt idx="5">
                  <c:v>5.9098106022016932E-4</c:v>
                </c:pt>
                <c:pt idx="6">
                  <c:v>5.9098106022016932E-4</c:v>
                </c:pt>
                <c:pt idx="7">
                  <c:v>5.9098106022016932E-4</c:v>
                </c:pt>
                <c:pt idx="8">
                  <c:v>5.9098106022016932E-4</c:v>
                </c:pt>
                <c:pt idx="9">
                  <c:v>5.9098106022016932E-4</c:v>
                </c:pt>
                <c:pt idx="10">
                  <c:v>5.9098106022016932E-4</c:v>
                </c:pt>
                <c:pt idx="11">
                  <c:v>5.9098106022016932E-4</c:v>
                </c:pt>
                <c:pt idx="12">
                  <c:v>5.9098106022016932E-4</c:v>
                </c:pt>
                <c:pt idx="13">
                  <c:v>5.9098106022016932E-4</c:v>
                </c:pt>
                <c:pt idx="14">
                  <c:v>5.9098106022016932E-4</c:v>
                </c:pt>
                <c:pt idx="15">
                  <c:v>5.9098106022016932E-4</c:v>
                </c:pt>
                <c:pt idx="16">
                  <c:v>5.9098106022016932E-4</c:v>
                </c:pt>
                <c:pt idx="17">
                  <c:v>5.9098106022016932E-4</c:v>
                </c:pt>
                <c:pt idx="18">
                  <c:v>5.9098106022016932E-4</c:v>
                </c:pt>
                <c:pt idx="19">
                  <c:v>5.9098106022016932E-4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0F8-44A1-91B3-518B5ED0B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9897615"/>
        <c:axId val="1769891375"/>
      </c:lineChart>
      <c:catAx>
        <c:axId val="176989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891375"/>
        <c:crosses val="autoZero"/>
        <c:auto val="1"/>
        <c:lblAlgn val="ctr"/>
        <c:lblOffset val="100"/>
        <c:noMultiLvlLbl val="0"/>
      </c:catAx>
      <c:valAx>
        <c:axId val="176989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89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Sheet!$C$1</c:f>
              <c:strCache>
                <c:ptCount val="1"/>
                <c:pt idx="0">
                  <c:v>Marks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Sheet!$C$2:$C$21</c:f>
              <c:numCache>
                <c:formatCode>General</c:formatCode>
                <c:ptCount val="20"/>
                <c:pt idx="0">
                  <c:v>68</c:v>
                </c:pt>
                <c:pt idx="1">
                  <c:v>78</c:v>
                </c:pt>
                <c:pt idx="2">
                  <c:v>88</c:v>
                </c:pt>
                <c:pt idx="3">
                  <c:v>56</c:v>
                </c:pt>
                <c:pt idx="4">
                  <c:v>96</c:v>
                </c:pt>
                <c:pt idx="5">
                  <c:v>97</c:v>
                </c:pt>
                <c:pt idx="6">
                  <c:v>56</c:v>
                </c:pt>
                <c:pt idx="7">
                  <c:v>86</c:v>
                </c:pt>
                <c:pt idx="8">
                  <c:v>65</c:v>
                </c:pt>
                <c:pt idx="9">
                  <c:v>71</c:v>
                </c:pt>
                <c:pt idx="10">
                  <c:v>91</c:v>
                </c:pt>
                <c:pt idx="11">
                  <c:v>53</c:v>
                </c:pt>
                <c:pt idx="12">
                  <c:v>98</c:v>
                </c:pt>
                <c:pt idx="13">
                  <c:v>88</c:v>
                </c:pt>
                <c:pt idx="14">
                  <c:v>73</c:v>
                </c:pt>
                <c:pt idx="15">
                  <c:v>98</c:v>
                </c:pt>
                <c:pt idx="16">
                  <c:v>72</c:v>
                </c:pt>
                <c:pt idx="17">
                  <c:v>74</c:v>
                </c:pt>
                <c:pt idx="18">
                  <c:v>82</c:v>
                </c:pt>
                <c:pt idx="19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C3-4784-BA21-5522CCBE3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925231"/>
        <c:axId val="1712926671"/>
      </c:scatterChart>
      <c:valAx>
        <c:axId val="171292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926671"/>
        <c:crosses val="autoZero"/>
        <c:crossBetween val="midCat"/>
      </c:valAx>
      <c:valAx>
        <c:axId val="171292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925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Sheet!$C$1</c:f>
              <c:strCache>
                <c:ptCount val="1"/>
                <c:pt idx="0">
                  <c:v>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Sheet!$A$2:$B$21</c:f>
              <c:multiLvlStrCache>
                <c:ptCount val="20"/>
                <c:lvl>
                  <c:pt idx="0">
                    <c:v>Divya</c:v>
                  </c:pt>
                  <c:pt idx="1">
                    <c:v>Sneha</c:v>
                  </c:pt>
                  <c:pt idx="2">
                    <c:v>Rahul</c:v>
                  </c:pt>
                  <c:pt idx="3">
                    <c:v>Priya</c:v>
                  </c:pt>
                  <c:pt idx="4">
                    <c:v>Sneha</c:v>
                  </c:pt>
                  <c:pt idx="5">
                    <c:v>Rohit</c:v>
                  </c:pt>
                  <c:pt idx="6">
                    <c:v>Vikram</c:v>
                  </c:pt>
                  <c:pt idx="7">
                    <c:v>Sneha</c:v>
                  </c:pt>
                  <c:pt idx="8">
                    <c:v>Sneha</c:v>
                  </c:pt>
                  <c:pt idx="9">
                    <c:v>Ananya</c:v>
                  </c:pt>
                  <c:pt idx="10">
                    <c:v>Sneha</c:v>
                  </c:pt>
                  <c:pt idx="11">
                    <c:v>Nikhil</c:v>
                  </c:pt>
                  <c:pt idx="12">
                    <c:v>Kiran</c:v>
                  </c:pt>
                  <c:pt idx="13">
                    <c:v>Vikram</c:v>
                  </c:pt>
                  <c:pt idx="14">
                    <c:v>Divya</c:v>
                  </c:pt>
                  <c:pt idx="15">
                    <c:v>Sneha</c:v>
                  </c:pt>
                  <c:pt idx="16">
                    <c:v>Kiran</c:v>
                  </c:pt>
                  <c:pt idx="17">
                    <c:v>Ananya</c:v>
                  </c:pt>
                  <c:pt idx="18">
                    <c:v>Sneha</c:v>
                  </c:pt>
                  <c:pt idx="19">
                    <c:v>Arjun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Sheet!$C$2:$C$21</c:f>
              <c:numCache>
                <c:formatCode>General</c:formatCode>
                <c:ptCount val="20"/>
                <c:pt idx="0">
                  <c:v>68</c:v>
                </c:pt>
                <c:pt idx="1">
                  <c:v>78</c:v>
                </c:pt>
                <c:pt idx="2">
                  <c:v>88</c:v>
                </c:pt>
                <c:pt idx="3">
                  <c:v>56</c:v>
                </c:pt>
                <c:pt idx="4">
                  <c:v>96</c:v>
                </c:pt>
                <c:pt idx="5">
                  <c:v>97</c:v>
                </c:pt>
                <c:pt idx="6">
                  <c:v>56</c:v>
                </c:pt>
                <c:pt idx="7">
                  <c:v>86</c:v>
                </c:pt>
                <c:pt idx="8">
                  <c:v>65</c:v>
                </c:pt>
                <c:pt idx="9">
                  <c:v>71</c:v>
                </c:pt>
                <c:pt idx="10">
                  <c:v>91</c:v>
                </c:pt>
                <c:pt idx="11">
                  <c:v>53</c:v>
                </c:pt>
                <c:pt idx="12">
                  <c:v>98</c:v>
                </c:pt>
                <c:pt idx="13">
                  <c:v>88</c:v>
                </c:pt>
                <c:pt idx="14">
                  <c:v>73</c:v>
                </c:pt>
                <c:pt idx="15">
                  <c:v>98</c:v>
                </c:pt>
                <c:pt idx="16">
                  <c:v>72</c:v>
                </c:pt>
                <c:pt idx="17">
                  <c:v>74</c:v>
                </c:pt>
                <c:pt idx="18">
                  <c:v>82</c:v>
                </c:pt>
                <c:pt idx="19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6-47B5-90CD-C9F5E17044EC}"/>
            </c:ext>
          </c:extLst>
        </c:ser>
        <c:ser>
          <c:idx val="1"/>
          <c:order val="1"/>
          <c:tx>
            <c:strRef>
              <c:f>Sheet!$D$1</c:f>
              <c:strCache>
                <c:ptCount val="1"/>
                <c:pt idx="0">
                  <c:v>Study_Hours_Per_Day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Sheet!$A$2:$B$21</c:f>
              <c:multiLvlStrCache>
                <c:ptCount val="20"/>
                <c:lvl>
                  <c:pt idx="0">
                    <c:v>Divya</c:v>
                  </c:pt>
                  <c:pt idx="1">
                    <c:v>Sneha</c:v>
                  </c:pt>
                  <c:pt idx="2">
                    <c:v>Rahul</c:v>
                  </c:pt>
                  <c:pt idx="3">
                    <c:v>Priya</c:v>
                  </c:pt>
                  <c:pt idx="4">
                    <c:v>Sneha</c:v>
                  </c:pt>
                  <c:pt idx="5">
                    <c:v>Rohit</c:v>
                  </c:pt>
                  <c:pt idx="6">
                    <c:v>Vikram</c:v>
                  </c:pt>
                  <c:pt idx="7">
                    <c:v>Sneha</c:v>
                  </c:pt>
                  <c:pt idx="8">
                    <c:v>Sneha</c:v>
                  </c:pt>
                  <c:pt idx="9">
                    <c:v>Ananya</c:v>
                  </c:pt>
                  <c:pt idx="10">
                    <c:v>Sneha</c:v>
                  </c:pt>
                  <c:pt idx="11">
                    <c:v>Nikhil</c:v>
                  </c:pt>
                  <c:pt idx="12">
                    <c:v>Kiran</c:v>
                  </c:pt>
                  <c:pt idx="13">
                    <c:v>Vikram</c:v>
                  </c:pt>
                  <c:pt idx="14">
                    <c:v>Divya</c:v>
                  </c:pt>
                  <c:pt idx="15">
                    <c:v>Sneha</c:v>
                  </c:pt>
                  <c:pt idx="16">
                    <c:v>Kiran</c:v>
                  </c:pt>
                  <c:pt idx="17">
                    <c:v>Ananya</c:v>
                  </c:pt>
                  <c:pt idx="18">
                    <c:v>Sneha</c:v>
                  </c:pt>
                  <c:pt idx="19">
                    <c:v>Arjun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Sheet!$D$2:$D$21</c:f>
              <c:numCache>
                <c:formatCode>General</c:formatCode>
                <c:ptCount val="20"/>
                <c:pt idx="0">
                  <c:v>3.7</c:v>
                </c:pt>
                <c:pt idx="1">
                  <c:v>6.2</c:v>
                </c:pt>
                <c:pt idx="2">
                  <c:v>1.1000000000000001</c:v>
                </c:pt>
                <c:pt idx="3">
                  <c:v>6.4</c:v>
                </c:pt>
                <c:pt idx="4">
                  <c:v>1.4</c:v>
                </c:pt>
                <c:pt idx="5">
                  <c:v>2.2999999999999998</c:v>
                </c:pt>
                <c:pt idx="6">
                  <c:v>6.1</c:v>
                </c:pt>
                <c:pt idx="7">
                  <c:v>6.6</c:v>
                </c:pt>
                <c:pt idx="8">
                  <c:v>1.8</c:v>
                </c:pt>
                <c:pt idx="9">
                  <c:v>2</c:v>
                </c:pt>
                <c:pt idx="10">
                  <c:v>7.9</c:v>
                </c:pt>
                <c:pt idx="11">
                  <c:v>1.9</c:v>
                </c:pt>
                <c:pt idx="12">
                  <c:v>1.4</c:v>
                </c:pt>
                <c:pt idx="13">
                  <c:v>6.7</c:v>
                </c:pt>
                <c:pt idx="14">
                  <c:v>1.3</c:v>
                </c:pt>
                <c:pt idx="15">
                  <c:v>7.8</c:v>
                </c:pt>
                <c:pt idx="16">
                  <c:v>6.1</c:v>
                </c:pt>
                <c:pt idx="17">
                  <c:v>4.0999999999999996</c:v>
                </c:pt>
                <c:pt idx="18">
                  <c:v>2.2999999999999998</c:v>
                </c:pt>
                <c:pt idx="19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36-47B5-90CD-C9F5E1704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88776E-9059-B436-DFA3-D6DD4E41A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DA7507-821F-EB0D-3DE5-01BF12A24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4</xdr:row>
      <xdr:rowOff>175260</xdr:rowOff>
    </xdr:from>
    <xdr:to>
      <xdr:col>17</xdr:col>
      <xdr:colOff>251460</xdr:colOff>
      <xdr:row>14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0E3CC9-E62B-0DED-954D-D63B03BF0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411480</xdr:colOff>
      <xdr:row>0</xdr:row>
      <xdr:rowOff>0</xdr:rowOff>
    </xdr:from>
    <xdr:to>
      <xdr:col>19</xdr:col>
      <xdr:colOff>106680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C144F5-18D2-CC63-13CE-8A7E05CA5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398646</xdr:colOff>
      <xdr:row>0</xdr:row>
      <xdr:rowOff>177465</xdr:rowOff>
    </xdr:from>
    <xdr:to>
      <xdr:col>27</xdr:col>
      <xdr:colOff>93846</xdr:colOff>
      <xdr:row>15</xdr:row>
      <xdr:rowOff>177465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7E6D66-2D0E-C3CB-3FCE-1574E66EB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381000</xdr:colOff>
      <xdr:row>15</xdr:row>
      <xdr:rowOff>92242</xdr:rowOff>
    </xdr:from>
    <xdr:to>
      <xdr:col>19</xdr:col>
      <xdr:colOff>60158</xdr:colOff>
      <xdr:row>30</xdr:row>
      <xdr:rowOff>128336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869E54-6F3D-9993-463E-9E4DDF019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8AFA-3C7A-4258-A755-3D38C93156D1}">
  <dimension ref="A1:I43"/>
  <sheetViews>
    <sheetView workbookViewId="0">
      <selection activeCell="T6" sqref="T6"/>
    </sheetView>
  </sheetViews>
  <sheetFormatPr defaultRowHeight="14.4" x14ac:dyDescent="0.3"/>
  <sheetData>
    <row r="1" spans="1:9" x14ac:dyDescent="0.3">
      <c r="A1" t="s">
        <v>21</v>
      </c>
    </row>
    <row r="2" spans="1:9" ht="15" thickBot="1" x14ac:dyDescent="0.35"/>
    <row r="3" spans="1:9" x14ac:dyDescent="0.3">
      <c r="A3" s="4" t="s">
        <v>22</v>
      </c>
      <c r="B3" s="4"/>
    </row>
    <row r="4" spans="1:9" x14ac:dyDescent="0.3">
      <c r="A4" s="1" t="s">
        <v>23</v>
      </c>
      <c r="B4" s="1">
        <v>4.2558138181267103E-3</v>
      </c>
    </row>
    <row r="5" spans="1:9" x14ac:dyDescent="0.3">
      <c r="A5" s="1" t="s">
        <v>24</v>
      </c>
      <c r="B5" s="1">
        <v>1.8111951254558251E-5</v>
      </c>
    </row>
    <row r="6" spans="1:9" x14ac:dyDescent="0.3">
      <c r="A6" s="1" t="s">
        <v>25</v>
      </c>
      <c r="B6" s="1">
        <v>-5.8804352051612822E-2</v>
      </c>
    </row>
    <row r="7" spans="1:9" x14ac:dyDescent="0.3">
      <c r="A7" s="1" t="s">
        <v>26</v>
      </c>
      <c r="B7" s="1">
        <v>2.5820414539826793</v>
      </c>
    </row>
    <row r="8" spans="1:9" ht="15" thickBot="1" x14ac:dyDescent="0.35">
      <c r="A8" s="2" t="s">
        <v>27</v>
      </c>
      <c r="B8" s="2">
        <v>19</v>
      </c>
    </row>
    <row r="10" spans="1:9" ht="15" thickBot="1" x14ac:dyDescent="0.35">
      <c r="A10" t="s">
        <v>28</v>
      </c>
    </row>
    <row r="11" spans="1:9" x14ac:dyDescent="0.3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3">
      <c r="A12" s="1" t="s">
        <v>29</v>
      </c>
      <c r="B12" s="1">
        <v>1</v>
      </c>
      <c r="C12" s="1">
        <v>2.052808555191632E-3</v>
      </c>
      <c r="D12" s="1">
        <v>2.052808555191632E-3</v>
      </c>
      <c r="E12" s="1">
        <v>3.0790874815572771E-4</v>
      </c>
      <c r="F12" s="1">
        <v>0.98620427710308789</v>
      </c>
    </row>
    <row r="13" spans="1:9" x14ac:dyDescent="0.3">
      <c r="A13" s="1" t="s">
        <v>30</v>
      </c>
      <c r="B13" s="1">
        <v>17</v>
      </c>
      <c r="C13" s="1">
        <v>113.3379471914448</v>
      </c>
      <c r="D13" s="1">
        <v>6.6669380700849885</v>
      </c>
      <c r="E13" s="1"/>
      <c r="F13" s="1"/>
    </row>
    <row r="14" spans="1:9" ht="15" thickBot="1" x14ac:dyDescent="0.35">
      <c r="A14" s="2" t="s">
        <v>31</v>
      </c>
      <c r="B14" s="2">
        <v>18</v>
      </c>
      <c r="C14" s="2">
        <v>113.33999999999999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3">
      <c r="A17" s="1" t="s">
        <v>32</v>
      </c>
      <c r="B17" s="1">
        <v>4.0580728736012324</v>
      </c>
      <c r="C17" s="1">
        <v>3.3620942207918856</v>
      </c>
      <c r="D17" s="1">
        <v>1.2070074801905524</v>
      </c>
      <c r="E17" s="1">
        <v>0.2439564891593656</v>
      </c>
      <c r="F17" s="1">
        <v>-3.0353258875688551</v>
      </c>
      <c r="G17" s="1">
        <v>11.151471634771319</v>
      </c>
      <c r="H17" s="1">
        <v>-3.0353258875688551</v>
      </c>
      <c r="I17" s="1">
        <v>11.151471634771319</v>
      </c>
    </row>
    <row r="18" spans="1:9" ht="15" thickBot="1" x14ac:dyDescent="0.35">
      <c r="A18" s="2">
        <v>68</v>
      </c>
      <c r="B18" s="2">
        <v>-7.3314591257370762E-4</v>
      </c>
      <c r="C18" s="2">
        <v>4.1781055154327111E-2</v>
      </c>
      <c r="D18" s="2">
        <v>-1.7547328804063924E-2</v>
      </c>
      <c r="E18" s="2">
        <v>0.9862042771030386</v>
      </c>
      <c r="F18" s="2">
        <v>-8.8883466935486044E-2</v>
      </c>
      <c r="G18" s="2">
        <v>8.7417175110338641E-2</v>
      </c>
      <c r="H18" s="2">
        <v>-8.8883466935486044E-2</v>
      </c>
      <c r="I18" s="2">
        <v>8.7417175110338641E-2</v>
      </c>
    </row>
    <row r="22" spans="1:9" x14ac:dyDescent="0.3">
      <c r="A22" t="s">
        <v>45</v>
      </c>
      <c r="F22" t="s">
        <v>50</v>
      </c>
    </row>
    <row r="23" spans="1:9" ht="15" thickBot="1" x14ac:dyDescent="0.35"/>
    <row r="24" spans="1:9" x14ac:dyDescent="0.3">
      <c r="A24" s="3" t="s">
        <v>46</v>
      </c>
      <c r="B24" s="3" t="s">
        <v>47</v>
      </c>
      <c r="C24" s="3" t="s">
        <v>48</v>
      </c>
      <c r="D24" s="3" t="s">
        <v>49</v>
      </c>
      <c r="F24" s="3" t="s">
        <v>51</v>
      </c>
      <c r="G24" s="3">
        <v>3.7</v>
      </c>
    </row>
    <row r="25" spans="1:9" x14ac:dyDescent="0.3">
      <c r="A25" s="1">
        <v>1</v>
      </c>
      <c r="B25" s="1">
        <v>4.0008874924204836</v>
      </c>
      <c r="C25" s="1">
        <v>2.1991125075795166</v>
      </c>
      <c r="D25" s="1">
        <v>0.8763872083556683</v>
      </c>
      <c r="F25" s="1">
        <v>2.6315789473684212</v>
      </c>
      <c r="G25" s="1">
        <v>1.1000000000000001</v>
      </c>
    </row>
    <row r="26" spans="1:9" x14ac:dyDescent="0.3">
      <c r="A26" s="1">
        <v>2</v>
      </c>
      <c r="B26" s="1">
        <v>3.993556033294746</v>
      </c>
      <c r="C26" s="1">
        <v>-2.8935560332947459</v>
      </c>
      <c r="D26" s="1">
        <v>-1.1531358607163895</v>
      </c>
      <c r="F26" s="1">
        <v>7.8947368421052637</v>
      </c>
      <c r="G26" s="1">
        <v>1.3</v>
      </c>
    </row>
    <row r="27" spans="1:9" x14ac:dyDescent="0.3">
      <c r="A27" s="1">
        <v>3</v>
      </c>
      <c r="B27" s="1">
        <v>4.0170167024971049</v>
      </c>
      <c r="C27" s="1">
        <v>2.3829832975028955</v>
      </c>
      <c r="D27" s="1">
        <v>0.94966313567803373</v>
      </c>
      <c r="F27" s="1">
        <v>13.157894736842106</v>
      </c>
      <c r="G27" s="1">
        <v>1.4</v>
      </c>
    </row>
    <row r="28" spans="1:9" x14ac:dyDescent="0.3">
      <c r="A28" s="1">
        <v>4</v>
      </c>
      <c r="B28" s="1">
        <v>3.9876908659941566</v>
      </c>
      <c r="C28" s="1">
        <v>-2.5876908659941567</v>
      </c>
      <c r="D28" s="1">
        <v>-1.0312429065451441</v>
      </c>
      <c r="F28" s="1">
        <v>18.421052631578949</v>
      </c>
      <c r="G28" s="1">
        <v>1.4</v>
      </c>
    </row>
    <row r="29" spans="1:9" x14ac:dyDescent="0.3">
      <c r="A29" s="1">
        <v>5</v>
      </c>
      <c r="B29" s="1">
        <v>3.9869577200815827</v>
      </c>
      <c r="C29" s="1">
        <v>-1.6869577200815828</v>
      </c>
      <c r="D29" s="1">
        <v>-0.67228400630743246</v>
      </c>
      <c r="F29" s="1">
        <v>23.684210526315791</v>
      </c>
      <c r="G29" s="1">
        <v>1.8</v>
      </c>
    </row>
    <row r="30" spans="1:9" x14ac:dyDescent="0.3">
      <c r="A30" s="1">
        <v>6</v>
      </c>
      <c r="B30" s="1">
        <v>4.0170167024971049</v>
      </c>
      <c r="C30" s="1">
        <v>2.0829832975028948</v>
      </c>
      <c r="D30" s="1">
        <v>0.83010755968975325</v>
      </c>
      <c r="F30" s="1">
        <v>28.947368421052634</v>
      </c>
      <c r="G30" s="1">
        <v>1.9</v>
      </c>
    </row>
    <row r="31" spans="1:9" x14ac:dyDescent="0.3">
      <c r="A31" s="1">
        <v>7</v>
      </c>
      <c r="B31" s="1">
        <v>3.9950223251198933</v>
      </c>
      <c r="C31" s="1">
        <v>2.6049776748801063</v>
      </c>
      <c r="D31" s="1">
        <v>1.0381320211896741</v>
      </c>
      <c r="F31" s="1">
        <v>34.21052631578948</v>
      </c>
      <c r="G31" s="1">
        <v>2</v>
      </c>
    </row>
    <row r="32" spans="1:9" x14ac:dyDescent="0.3">
      <c r="A32" s="1">
        <v>8</v>
      </c>
      <c r="B32" s="1">
        <v>4.0104183892839416</v>
      </c>
      <c r="C32" s="1">
        <v>-2.2104183892839417</v>
      </c>
      <c r="D32" s="1">
        <v>-0.88089281235309458</v>
      </c>
      <c r="F32" s="1">
        <v>39.473684210526315</v>
      </c>
      <c r="G32" s="1">
        <v>2.2999999999999998</v>
      </c>
    </row>
    <row r="33" spans="1:7" x14ac:dyDescent="0.3">
      <c r="A33" s="1">
        <v>9</v>
      </c>
      <c r="B33" s="1">
        <v>4.0060195138084991</v>
      </c>
      <c r="C33" s="1">
        <v>-2.0060195138084991</v>
      </c>
      <c r="D33" s="1">
        <v>-0.79943606139035017</v>
      </c>
      <c r="F33" s="1">
        <v>44.736842105263165</v>
      </c>
      <c r="G33" s="1">
        <v>2.2999999999999998</v>
      </c>
    </row>
    <row r="34" spans="1:7" x14ac:dyDescent="0.3">
      <c r="A34" s="1">
        <v>10</v>
      </c>
      <c r="B34" s="1">
        <v>3.9913565955570252</v>
      </c>
      <c r="C34" s="1">
        <v>3.9086434044429752</v>
      </c>
      <c r="D34" s="1">
        <v>1.5576670451699088</v>
      </c>
      <c r="F34" s="1">
        <v>50</v>
      </c>
      <c r="G34" s="1">
        <v>2.6</v>
      </c>
    </row>
    <row r="35" spans="1:7" x14ac:dyDescent="0.3">
      <c r="A35" s="1">
        <v>11</v>
      </c>
      <c r="B35" s="1">
        <v>4.0192161402348257</v>
      </c>
      <c r="C35" s="1">
        <v>-2.1192161402348257</v>
      </c>
      <c r="D35" s="1">
        <v>-0.84454702096478251</v>
      </c>
      <c r="F35" s="1">
        <v>55.26315789473685</v>
      </c>
      <c r="G35" s="1">
        <v>4.0999999999999996</v>
      </c>
    </row>
    <row r="36" spans="1:7" x14ac:dyDescent="0.3">
      <c r="A36" s="1">
        <v>12</v>
      </c>
      <c r="B36" s="1">
        <v>3.9862245741690092</v>
      </c>
      <c r="C36" s="1">
        <v>-2.5862245741690093</v>
      </c>
      <c r="D36" s="1">
        <v>-1.0306585619994026</v>
      </c>
      <c r="F36" s="1">
        <v>60.526315789473685</v>
      </c>
      <c r="G36" s="1">
        <v>6.1</v>
      </c>
    </row>
    <row r="37" spans="1:7" x14ac:dyDescent="0.3">
      <c r="A37" s="1">
        <v>13</v>
      </c>
      <c r="B37" s="1">
        <v>3.993556033294746</v>
      </c>
      <c r="C37" s="1">
        <v>2.7064439667052542</v>
      </c>
      <c r="D37" s="1">
        <v>1.0785682243981758</v>
      </c>
      <c r="F37" s="1">
        <v>65.789473684210535</v>
      </c>
      <c r="G37" s="1">
        <v>6.1</v>
      </c>
    </row>
    <row r="38" spans="1:7" x14ac:dyDescent="0.3">
      <c r="A38" s="1">
        <v>14</v>
      </c>
      <c r="B38" s="1">
        <v>4.0045532219833513</v>
      </c>
      <c r="C38" s="1">
        <v>-2.7045532219833515</v>
      </c>
      <c r="D38" s="1">
        <v>-1.0778147274839294</v>
      </c>
      <c r="F38" s="1">
        <v>71.052631578947384</v>
      </c>
      <c r="G38" s="1">
        <v>6.2</v>
      </c>
    </row>
    <row r="39" spans="1:7" x14ac:dyDescent="0.3">
      <c r="A39" s="1">
        <v>15</v>
      </c>
      <c r="B39" s="1">
        <v>3.9862245741690092</v>
      </c>
      <c r="C39" s="1">
        <v>3.8137754258309906</v>
      </c>
      <c r="D39" s="1">
        <v>1.5198603924172431</v>
      </c>
      <c r="F39" s="1">
        <v>76.31578947368422</v>
      </c>
      <c r="G39" s="1">
        <v>6.4</v>
      </c>
    </row>
    <row r="40" spans="1:7" x14ac:dyDescent="0.3">
      <c r="A40" s="1">
        <v>16</v>
      </c>
      <c r="B40" s="1">
        <v>4.0052863678959252</v>
      </c>
      <c r="C40" s="1">
        <v>2.0947136321040745</v>
      </c>
      <c r="D40" s="1">
        <v>0.8347823160556842</v>
      </c>
      <c r="F40" s="1">
        <v>81.578947368421055</v>
      </c>
      <c r="G40" s="1">
        <v>6.6</v>
      </c>
    </row>
    <row r="41" spans="1:7" x14ac:dyDescent="0.3">
      <c r="A41" s="1">
        <v>17</v>
      </c>
      <c r="B41" s="1">
        <v>4.0038200760707783</v>
      </c>
      <c r="C41" s="1">
        <v>9.6179923929221367E-2</v>
      </c>
      <c r="D41" s="1">
        <v>3.8329487346223469E-2</v>
      </c>
      <c r="F41" s="1">
        <v>86.842105263157904</v>
      </c>
      <c r="G41" s="1">
        <v>6.7</v>
      </c>
    </row>
    <row r="42" spans="1:7" x14ac:dyDescent="0.3">
      <c r="A42" s="1">
        <v>18</v>
      </c>
      <c r="B42" s="1">
        <v>3.9979549087701884</v>
      </c>
      <c r="C42" s="1">
        <v>-1.6979549087701886</v>
      </c>
      <c r="D42" s="1">
        <v>-0.6766665904004926</v>
      </c>
      <c r="F42" s="1">
        <v>92.105263157894754</v>
      </c>
      <c r="G42" s="1">
        <v>7.8</v>
      </c>
    </row>
    <row r="43" spans="1:7" ht="15" thickBot="1" x14ac:dyDescent="0.35">
      <c r="A43" s="2">
        <v>19</v>
      </c>
      <c r="B43" s="2">
        <v>3.9972217628576145</v>
      </c>
      <c r="C43" s="2">
        <v>-1.3972217628576145</v>
      </c>
      <c r="D43" s="2">
        <v>-0.55681884213934152</v>
      </c>
      <c r="F43" s="2">
        <v>97.368421052631589</v>
      </c>
      <c r="G43" s="2">
        <v>7.9</v>
      </c>
    </row>
  </sheetData>
  <sortState xmlns:xlrd2="http://schemas.microsoft.com/office/spreadsheetml/2017/richdata2" ref="G25:G43">
    <sortCondition ref="G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3A8D-4078-46CA-89B2-F0423E0C5A66}">
  <dimension ref="A1:B18"/>
  <sheetViews>
    <sheetView tabSelected="1" workbookViewId="0">
      <selection activeCell="E11" sqref="E11"/>
    </sheetView>
  </sheetViews>
  <sheetFormatPr defaultRowHeight="14.4" x14ac:dyDescent="0.3"/>
  <sheetData>
    <row r="1" spans="1:2" x14ac:dyDescent="0.3">
      <c r="A1" s="4" t="s">
        <v>52</v>
      </c>
      <c r="B1" s="4"/>
    </row>
    <row r="2" spans="1:2" x14ac:dyDescent="0.3">
      <c r="A2" s="1"/>
      <c r="B2" s="1"/>
    </row>
    <row r="3" spans="1:2" x14ac:dyDescent="0.3">
      <c r="A3" s="1" t="s">
        <v>53</v>
      </c>
      <c r="B3" s="1">
        <v>78.650000000000006</v>
      </c>
    </row>
    <row r="4" spans="1:2" x14ac:dyDescent="0.3">
      <c r="A4" s="1" t="s">
        <v>26</v>
      </c>
      <c r="B4" s="1">
        <v>3.2194107012243562</v>
      </c>
    </row>
    <row r="5" spans="1:2" x14ac:dyDescent="0.3">
      <c r="A5" s="1" t="s">
        <v>54</v>
      </c>
      <c r="B5" s="1">
        <v>80</v>
      </c>
    </row>
    <row r="6" spans="1:2" x14ac:dyDescent="0.3">
      <c r="A6" s="1" t="s">
        <v>55</v>
      </c>
      <c r="B6" s="1">
        <v>88</v>
      </c>
    </row>
    <row r="7" spans="1:2" x14ac:dyDescent="0.3">
      <c r="A7" s="1" t="s">
        <v>9</v>
      </c>
      <c r="B7" s="1">
        <v>14.397642350855852</v>
      </c>
    </row>
    <row r="8" spans="1:2" x14ac:dyDescent="0.3">
      <c r="A8" s="1" t="s">
        <v>56</v>
      </c>
      <c r="B8" s="1">
        <v>207.29210526315805</v>
      </c>
    </row>
    <row r="9" spans="1:2" x14ac:dyDescent="0.3">
      <c r="A9" s="1" t="s">
        <v>57</v>
      </c>
      <c r="B9" s="1">
        <v>-0.95018719675926677</v>
      </c>
    </row>
    <row r="10" spans="1:2" x14ac:dyDescent="0.3">
      <c r="A10" s="1" t="s">
        <v>58</v>
      </c>
      <c r="B10" s="1">
        <v>-0.29318294218121826</v>
      </c>
    </row>
    <row r="11" spans="1:2" x14ac:dyDescent="0.3">
      <c r="A11" s="1" t="s">
        <v>59</v>
      </c>
      <c r="B11" s="1">
        <v>45</v>
      </c>
    </row>
    <row r="12" spans="1:2" x14ac:dyDescent="0.3">
      <c r="A12" s="1" t="s">
        <v>60</v>
      </c>
      <c r="B12" s="1">
        <v>53</v>
      </c>
    </row>
    <row r="13" spans="1:2" x14ac:dyDescent="0.3">
      <c r="A13" s="1" t="s">
        <v>61</v>
      </c>
      <c r="B13" s="1">
        <v>98</v>
      </c>
    </row>
    <row r="14" spans="1:2" x14ac:dyDescent="0.3">
      <c r="A14" s="1" t="s">
        <v>62</v>
      </c>
      <c r="B14" s="1">
        <v>1573</v>
      </c>
    </row>
    <row r="15" spans="1:2" x14ac:dyDescent="0.3">
      <c r="A15" s="1" t="s">
        <v>63</v>
      </c>
      <c r="B15" s="1">
        <v>20</v>
      </c>
    </row>
    <row r="16" spans="1:2" x14ac:dyDescent="0.3">
      <c r="A16" s="1" t="s">
        <v>64</v>
      </c>
      <c r="B16" s="1">
        <v>98</v>
      </c>
    </row>
    <row r="17" spans="1:2" x14ac:dyDescent="0.3">
      <c r="A17" s="1" t="s">
        <v>65</v>
      </c>
      <c r="B17" s="1">
        <v>53</v>
      </c>
    </row>
    <row r="18" spans="1:2" ht="15" thickBot="1" x14ac:dyDescent="0.35">
      <c r="A18" s="2" t="s">
        <v>66</v>
      </c>
      <c r="B18" s="2">
        <v>6.7383040386820987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zoomScale="76" workbookViewId="0">
      <selection activeCell="D34" sqref="D3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68</v>
      </c>
      <c r="D2">
        <v>3.7</v>
      </c>
      <c r="E2">
        <f>AVERAGE(C2:C21)</f>
        <v>78.650000000000006</v>
      </c>
      <c r="F2">
        <f>MEDIAN(C2:C21)</f>
        <v>80</v>
      </c>
      <c r="G2">
        <f>MODE(C2:C21)</f>
        <v>88</v>
      </c>
      <c r="H2">
        <f>MAX(C2:C21)-MIN(C2:C21)</f>
        <v>45</v>
      </c>
      <c r="I2">
        <f>VAR(C2:C21)</f>
        <v>207.29210526315805</v>
      </c>
      <c r="J2">
        <f>STDEV(C2:C21)</f>
        <v>14.397642350855852</v>
      </c>
      <c r="K2">
        <f>CORREL(C2:C21,D2:D21)</f>
        <v>5.9098106022016932E-4</v>
      </c>
    </row>
    <row r="3" spans="1:11" x14ac:dyDescent="0.3">
      <c r="A3">
        <v>2</v>
      </c>
      <c r="B3" t="s">
        <v>12</v>
      </c>
      <c r="C3">
        <v>78</v>
      </c>
      <c r="D3">
        <v>6.2</v>
      </c>
      <c r="E3">
        <f>AVERAGE(C2:C21)</f>
        <v>78.650000000000006</v>
      </c>
      <c r="F3">
        <f>MEDIAN(C2:C21)</f>
        <v>80</v>
      </c>
      <c r="G3">
        <f>MODE(C2:C21)</f>
        <v>88</v>
      </c>
      <c r="H3">
        <f>MAX(C2:C21)-MIN(C2:C21)</f>
        <v>45</v>
      </c>
      <c r="I3">
        <f>VAR(C2:C21)</f>
        <v>207.29210526315805</v>
      </c>
      <c r="J3">
        <f>STDEV(C2:C21)</f>
        <v>14.397642350855852</v>
      </c>
      <c r="K3">
        <f>CORREL(C2:C21,D2:D21)</f>
        <v>5.9098106022016932E-4</v>
      </c>
    </row>
    <row r="4" spans="1:11" x14ac:dyDescent="0.3">
      <c r="A4">
        <v>3</v>
      </c>
      <c r="B4" t="s">
        <v>13</v>
      </c>
      <c r="C4">
        <v>88</v>
      </c>
      <c r="D4">
        <v>1.1000000000000001</v>
      </c>
      <c r="E4">
        <f>AVERAGE(C2:C21)</f>
        <v>78.650000000000006</v>
      </c>
      <c r="F4">
        <f>MEDIAN(C2:C21)</f>
        <v>80</v>
      </c>
      <c r="G4">
        <f>MODE(C2:C21)</f>
        <v>88</v>
      </c>
      <c r="H4">
        <f>MAX(C2:C21)-MIN(C2:C21)</f>
        <v>45</v>
      </c>
      <c r="I4">
        <f>VAR(C2:C21)</f>
        <v>207.29210526315805</v>
      </c>
      <c r="J4">
        <f>STDEV(C2:C21)</f>
        <v>14.397642350855852</v>
      </c>
      <c r="K4">
        <f>CORREL(C2:C21,D2:D21)</f>
        <v>5.9098106022016932E-4</v>
      </c>
    </row>
    <row r="5" spans="1:11" x14ac:dyDescent="0.3">
      <c r="A5">
        <v>4</v>
      </c>
      <c r="B5" t="s">
        <v>14</v>
      </c>
      <c r="C5">
        <v>56</v>
      </c>
      <c r="D5">
        <v>6.4</v>
      </c>
      <c r="E5">
        <f>AVERAGE(C2:C21)</f>
        <v>78.650000000000006</v>
      </c>
      <c r="F5">
        <f>MEDIAN(C2:C21)</f>
        <v>80</v>
      </c>
      <c r="G5">
        <f>MODE(C2:C21)</f>
        <v>88</v>
      </c>
      <c r="H5">
        <f>MAX(C2:C21)-MIN(C2:C21)</f>
        <v>45</v>
      </c>
      <c r="I5">
        <f>VAR(C2:C21)</f>
        <v>207.29210526315805</v>
      </c>
      <c r="J5">
        <f>STDEV(C2:C21)</f>
        <v>14.397642350855852</v>
      </c>
      <c r="K5">
        <f>CORREL(C2:C21,D2:D21)</f>
        <v>5.9098106022016932E-4</v>
      </c>
    </row>
    <row r="6" spans="1:11" x14ac:dyDescent="0.3">
      <c r="A6">
        <v>5</v>
      </c>
      <c r="B6" t="s">
        <v>12</v>
      </c>
      <c r="C6">
        <v>96</v>
      </c>
      <c r="D6">
        <v>1.4</v>
      </c>
      <c r="E6">
        <f>AVERAGE(C2:C21)</f>
        <v>78.650000000000006</v>
      </c>
      <c r="F6">
        <f>MEDIAN(C2:C21)</f>
        <v>80</v>
      </c>
      <c r="G6">
        <f>MODE(C2:C21)</f>
        <v>88</v>
      </c>
      <c r="H6">
        <f>MAX(C2:C21)-MIN(C2:C21)</f>
        <v>45</v>
      </c>
      <c r="I6">
        <f>VAR(C2:C21)</f>
        <v>207.29210526315805</v>
      </c>
      <c r="J6">
        <f>STDEV(C2:C21)</f>
        <v>14.397642350855852</v>
      </c>
      <c r="K6">
        <f>CORREL(C2:C21,D2:D21)</f>
        <v>5.9098106022016932E-4</v>
      </c>
    </row>
    <row r="7" spans="1:11" x14ac:dyDescent="0.3">
      <c r="A7">
        <v>6</v>
      </c>
      <c r="B7" t="s">
        <v>15</v>
      </c>
      <c r="C7">
        <v>97</v>
      </c>
      <c r="D7">
        <v>2.2999999999999998</v>
      </c>
      <c r="E7">
        <f>AVERAGE(C2:C21)</f>
        <v>78.650000000000006</v>
      </c>
      <c r="F7">
        <f>MEDIAN(C2:C21)</f>
        <v>80</v>
      </c>
      <c r="G7">
        <f>MODE(C2:C21)</f>
        <v>88</v>
      </c>
      <c r="H7">
        <f>MAX(C2:C21)-MIN(C2:C21)</f>
        <v>45</v>
      </c>
      <c r="I7">
        <f>VAR(C2:C21)</f>
        <v>207.29210526315805</v>
      </c>
      <c r="J7">
        <f>STDEV(C2:C21)</f>
        <v>14.397642350855852</v>
      </c>
      <c r="K7">
        <f>CORREL(C2:C21,D2:D21)</f>
        <v>5.9098106022016932E-4</v>
      </c>
    </row>
    <row r="8" spans="1:11" x14ac:dyDescent="0.3">
      <c r="A8">
        <v>7</v>
      </c>
      <c r="B8" t="s">
        <v>16</v>
      </c>
      <c r="C8">
        <v>56</v>
      </c>
      <c r="D8">
        <v>6.1</v>
      </c>
      <c r="E8">
        <f>AVERAGE(C2:C21)</f>
        <v>78.650000000000006</v>
      </c>
      <c r="F8">
        <f>MEDIAN(C2:C21)</f>
        <v>80</v>
      </c>
      <c r="G8">
        <f>MODE(C2:C21)</f>
        <v>88</v>
      </c>
      <c r="H8">
        <f>MAX(C2:C21)-MIN(C2:C21)</f>
        <v>45</v>
      </c>
      <c r="I8">
        <f>VAR(C2:C21)</f>
        <v>207.29210526315805</v>
      </c>
      <c r="J8">
        <f>STDEV(C2:C21)</f>
        <v>14.397642350855852</v>
      </c>
      <c r="K8">
        <f>CORREL(C2:C21,D2:D21)</f>
        <v>5.9098106022016932E-4</v>
      </c>
    </row>
    <row r="9" spans="1:11" x14ac:dyDescent="0.3">
      <c r="A9">
        <v>8</v>
      </c>
      <c r="B9" t="s">
        <v>12</v>
      </c>
      <c r="C9">
        <v>86</v>
      </c>
      <c r="D9">
        <v>6.6</v>
      </c>
      <c r="E9">
        <f>AVERAGE(C2:C21)</f>
        <v>78.650000000000006</v>
      </c>
      <c r="F9">
        <f>MEDIAN(C2:C21)</f>
        <v>80</v>
      </c>
      <c r="G9">
        <f>MODE(C2:C21)</f>
        <v>88</v>
      </c>
      <c r="H9">
        <f>MAX(C2:C21)-MIN(C2:C21)</f>
        <v>45</v>
      </c>
      <c r="I9">
        <f>VAR(C2:C21)</f>
        <v>207.29210526315805</v>
      </c>
      <c r="J9">
        <f>STDEV(C2:C21)</f>
        <v>14.397642350855852</v>
      </c>
      <c r="K9">
        <f>CORREL(C2:C21,D2:D21)</f>
        <v>5.9098106022016932E-4</v>
      </c>
    </row>
    <row r="10" spans="1:11" x14ac:dyDescent="0.3">
      <c r="A10">
        <v>9</v>
      </c>
      <c r="B10" t="s">
        <v>12</v>
      </c>
      <c r="C10">
        <v>65</v>
      </c>
      <c r="D10">
        <v>1.8</v>
      </c>
      <c r="E10">
        <f>AVERAGE(C2:C21)</f>
        <v>78.650000000000006</v>
      </c>
      <c r="F10">
        <f>MEDIAN(C2:C21)</f>
        <v>80</v>
      </c>
      <c r="G10">
        <f>MODE(C2:C21)</f>
        <v>88</v>
      </c>
      <c r="H10">
        <f>MAX(C2:C21)-MIN(C2:C21)</f>
        <v>45</v>
      </c>
      <c r="I10">
        <f>VAR(C2:C21)</f>
        <v>207.29210526315805</v>
      </c>
      <c r="J10">
        <f>STDEV(C2:C21)</f>
        <v>14.397642350855852</v>
      </c>
      <c r="K10">
        <f>CORREL(C2:C21,D2:D21)</f>
        <v>5.9098106022016932E-4</v>
      </c>
    </row>
    <row r="11" spans="1:11" x14ac:dyDescent="0.3">
      <c r="A11">
        <v>10</v>
      </c>
      <c r="B11" t="s">
        <v>17</v>
      </c>
      <c r="C11">
        <v>71</v>
      </c>
      <c r="D11">
        <v>2</v>
      </c>
      <c r="E11">
        <f>AVERAGE(C2:C21)</f>
        <v>78.650000000000006</v>
      </c>
      <c r="F11">
        <f>MEDIAN(C2:C21)</f>
        <v>80</v>
      </c>
      <c r="G11">
        <f>MODE(C2:C21)</f>
        <v>88</v>
      </c>
      <c r="H11">
        <f>MAX(C2:C21)-MIN(C2:C21)</f>
        <v>45</v>
      </c>
      <c r="I11">
        <f>VAR(C2:C21)</f>
        <v>207.29210526315805</v>
      </c>
      <c r="J11">
        <f>STDEV(C2:C21)</f>
        <v>14.397642350855852</v>
      </c>
      <c r="K11">
        <f>CORREL(C2:C21,D2:D21)</f>
        <v>5.9098106022016932E-4</v>
      </c>
    </row>
    <row r="12" spans="1:11" x14ac:dyDescent="0.3">
      <c r="A12">
        <v>11</v>
      </c>
      <c r="B12" t="s">
        <v>12</v>
      </c>
      <c r="C12">
        <v>91</v>
      </c>
      <c r="D12">
        <v>7.9</v>
      </c>
      <c r="E12">
        <f>AVERAGE(C2:C21)</f>
        <v>78.650000000000006</v>
      </c>
      <c r="F12">
        <f>MEDIAN(C2:C21)</f>
        <v>80</v>
      </c>
      <c r="G12">
        <f>MODE(C2:C21)</f>
        <v>88</v>
      </c>
      <c r="H12">
        <f>MAX(C2:C21)-MIN(C2:C21)</f>
        <v>45</v>
      </c>
      <c r="I12">
        <f>VAR(C2:C21)</f>
        <v>207.29210526315805</v>
      </c>
      <c r="J12">
        <f>STDEV(C2:C21)</f>
        <v>14.397642350855852</v>
      </c>
      <c r="K12">
        <f>CORREL(C2:C21,D2:D21)</f>
        <v>5.9098106022016932E-4</v>
      </c>
    </row>
    <row r="13" spans="1:11" x14ac:dyDescent="0.3">
      <c r="A13">
        <v>12</v>
      </c>
      <c r="B13" t="s">
        <v>18</v>
      </c>
      <c r="C13">
        <v>53</v>
      </c>
      <c r="D13">
        <v>1.9</v>
      </c>
      <c r="E13">
        <f>AVERAGE(C2:C21)</f>
        <v>78.650000000000006</v>
      </c>
      <c r="F13">
        <f>MEDIAN(C2:C21)</f>
        <v>80</v>
      </c>
      <c r="G13">
        <f>MODE(C2:C21)</f>
        <v>88</v>
      </c>
      <c r="H13">
        <f>MAX(C2:C21)-MIN(C2:C21)</f>
        <v>45</v>
      </c>
      <c r="I13">
        <f>VAR(C2:C21)</f>
        <v>207.29210526315805</v>
      </c>
      <c r="J13">
        <f>STDEV(C2:C21)</f>
        <v>14.397642350855852</v>
      </c>
      <c r="K13">
        <f>CORREL(C2:C21,D2:D21)</f>
        <v>5.9098106022016932E-4</v>
      </c>
    </row>
    <row r="14" spans="1:11" x14ac:dyDescent="0.3">
      <c r="A14">
        <v>13</v>
      </c>
      <c r="B14" t="s">
        <v>19</v>
      </c>
      <c r="C14">
        <v>98</v>
      </c>
      <c r="D14">
        <v>1.4</v>
      </c>
      <c r="E14">
        <f>AVERAGE(C2:C21)</f>
        <v>78.650000000000006</v>
      </c>
      <c r="F14">
        <f>MEDIAN(C2:C21)</f>
        <v>80</v>
      </c>
      <c r="G14">
        <f>MODE(C2:C21)</f>
        <v>88</v>
      </c>
      <c r="H14">
        <f>MAX(C2:C21)-MIN(C2:C21)</f>
        <v>45</v>
      </c>
      <c r="I14">
        <f>VAR(C2:C21)</f>
        <v>207.29210526315805</v>
      </c>
      <c r="J14">
        <f>STDEV(C2:C21)</f>
        <v>14.397642350855852</v>
      </c>
      <c r="K14">
        <f>CORREL(C2:C21,D2:D21)</f>
        <v>5.9098106022016932E-4</v>
      </c>
    </row>
    <row r="15" spans="1:11" x14ac:dyDescent="0.3">
      <c r="A15">
        <v>14</v>
      </c>
      <c r="B15" t="s">
        <v>16</v>
      </c>
      <c r="C15">
        <v>88</v>
      </c>
      <c r="D15">
        <v>6.7</v>
      </c>
      <c r="E15">
        <f>AVERAGE(C2:C21)</f>
        <v>78.650000000000006</v>
      </c>
      <c r="F15">
        <f>MEDIAN(C2:C21)</f>
        <v>80</v>
      </c>
      <c r="G15">
        <f>MODE(C2:C21)</f>
        <v>88</v>
      </c>
      <c r="H15">
        <f>MAX(C2:C21)-MIN(C2:C21)</f>
        <v>45</v>
      </c>
      <c r="I15">
        <f>VAR(C2:C21)</f>
        <v>207.29210526315805</v>
      </c>
      <c r="J15">
        <f>STDEV(C2:C21)</f>
        <v>14.397642350855852</v>
      </c>
      <c r="K15">
        <f>CORREL(C2:C21,D2:D21)</f>
        <v>5.9098106022016932E-4</v>
      </c>
    </row>
    <row r="16" spans="1:11" x14ac:dyDescent="0.3">
      <c r="A16">
        <v>15</v>
      </c>
      <c r="B16" t="s">
        <v>11</v>
      </c>
      <c r="C16">
        <v>73</v>
      </c>
      <c r="D16">
        <v>1.3</v>
      </c>
      <c r="E16">
        <f>AVERAGE(C2:C21)</f>
        <v>78.650000000000006</v>
      </c>
      <c r="F16">
        <f>MEDIAN(C2:C21)</f>
        <v>80</v>
      </c>
      <c r="G16">
        <f>MODE(C2:C21)</f>
        <v>88</v>
      </c>
      <c r="H16">
        <f>MAX(C2:C21)-MIN(C2:C21)</f>
        <v>45</v>
      </c>
      <c r="I16">
        <f>VAR(C2:C21)</f>
        <v>207.29210526315805</v>
      </c>
      <c r="J16">
        <f>STDEV(C2:C21)</f>
        <v>14.397642350855852</v>
      </c>
      <c r="K16">
        <f>CORREL(C2:C21,D2:D21)</f>
        <v>5.9098106022016932E-4</v>
      </c>
    </row>
    <row r="17" spans="1:11" x14ac:dyDescent="0.3">
      <c r="A17">
        <v>16</v>
      </c>
      <c r="B17" t="s">
        <v>12</v>
      </c>
      <c r="C17">
        <v>98</v>
      </c>
      <c r="D17">
        <v>7.8</v>
      </c>
      <c r="E17">
        <f>AVERAGE(C2:C21)</f>
        <v>78.650000000000006</v>
      </c>
      <c r="F17">
        <f>MEDIAN(C2:C21)</f>
        <v>80</v>
      </c>
      <c r="G17">
        <f>MODE(C2:C21)</f>
        <v>88</v>
      </c>
      <c r="H17">
        <f>MAX(C2:C21)-MIN(C2:C21)</f>
        <v>45</v>
      </c>
      <c r="I17">
        <f>VAR(C2:C21)</f>
        <v>207.29210526315805</v>
      </c>
      <c r="J17">
        <f>STDEV(C2:C21)</f>
        <v>14.397642350855852</v>
      </c>
      <c r="K17">
        <f>CORREL(C2:C21,D2:D21)</f>
        <v>5.9098106022016932E-4</v>
      </c>
    </row>
    <row r="18" spans="1:11" x14ac:dyDescent="0.3">
      <c r="A18">
        <v>17</v>
      </c>
      <c r="B18" t="s">
        <v>19</v>
      </c>
      <c r="C18">
        <v>72</v>
      </c>
      <c r="D18">
        <v>6.1</v>
      </c>
      <c r="E18">
        <f>AVERAGE(C2:C21)</f>
        <v>78.650000000000006</v>
      </c>
      <c r="F18">
        <f>MEDIAN(C2:C21)</f>
        <v>80</v>
      </c>
      <c r="G18">
        <f>MODE(C2:C21)</f>
        <v>88</v>
      </c>
      <c r="H18">
        <f>MAX(C2:C21)-MIN(C2:C21)</f>
        <v>45</v>
      </c>
      <c r="I18">
        <f>VAR(C2:C21)</f>
        <v>207.29210526315805</v>
      </c>
      <c r="J18">
        <f>STDEV(C2:C21)</f>
        <v>14.397642350855852</v>
      </c>
      <c r="K18">
        <f>CORREL(C2:C21,D2:D21)</f>
        <v>5.9098106022016932E-4</v>
      </c>
    </row>
    <row r="19" spans="1:11" x14ac:dyDescent="0.3">
      <c r="A19">
        <v>18</v>
      </c>
      <c r="B19" t="s">
        <v>17</v>
      </c>
      <c r="C19">
        <v>74</v>
      </c>
      <c r="D19">
        <v>4.0999999999999996</v>
      </c>
      <c r="E19">
        <f>AVERAGE(C2:C21)</f>
        <v>78.650000000000006</v>
      </c>
      <c r="F19">
        <f>MEDIAN(C2:C21)</f>
        <v>80</v>
      </c>
      <c r="G19">
        <f>MODE(C2:C21)</f>
        <v>88</v>
      </c>
      <c r="H19">
        <f>MAX(C2:C21)-MIN(C2:C21)</f>
        <v>45</v>
      </c>
      <c r="I19">
        <f>VAR(C2:C21)</f>
        <v>207.29210526315805</v>
      </c>
      <c r="J19">
        <f>STDEV(C2:C21)</f>
        <v>14.397642350855852</v>
      </c>
      <c r="K19">
        <f>CORREL(C2:C21,D2:D21)</f>
        <v>5.9098106022016932E-4</v>
      </c>
    </row>
    <row r="20" spans="1:11" x14ac:dyDescent="0.3">
      <c r="A20">
        <v>19</v>
      </c>
      <c r="B20" t="s">
        <v>12</v>
      </c>
      <c r="C20">
        <v>82</v>
      </c>
      <c r="D20">
        <v>2.2999999999999998</v>
      </c>
      <c r="E20">
        <f>AVERAGE(C2:C21)</f>
        <v>78.650000000000006</v>
      </c>
      <c r="F20">
        <f>MEDIAN(C2:C21)</f>
        <v>80</v>
      </c>
      <c r="G20">
        <f>MODE(C2:C21)</f>
        <v>88</v>
      </c>
      <c r="H20">
        <f>MAX(C2:C21)-MIN(C2:C21)</f>
        <v>45</v>
      </c>
      <c r="I20">
        <f>VAR(C2:C21)</f>
        <v>207.29210526315805</v>
      </c>
      <c r="J20">
        <f>STDEV(C2:C21)</f>
        <v>14.397642350855852</v>
      </c>
      <c r="K20">
        <f>CORREL(C2:C21,D2:D21)</f>
        <v>5.9098106022016932E-4</v>
      </c>
    </row>
    <row r="21" spans="1:11" x14ac:dyDescent="0.3">
      <c r="A21">
        <v>20</v>
      </c>
      <c r="B21" t="s">
        <v>20</v>
      </c>
      <c r="C21">
        <v>83</v>
      </c>
      <c r="D21">
        <v>2.6</v>
      </c>
      <c r="E21">
        <f>AVERAGE(C2:C21)</f>
        <v>78.650000000000006</v>
      </c>
      <c r="F21">
        <f>MEDIAN(C2:C21)</f>
        <v>80</v>
      </c>
      <c r="G21">
        <f>MODE(C2:C21)</f>
        <v>88</v>
      </c>
      <c r="H21">
        <f>MAX(C2:C21)-MIN(C2:C21)</f>
        <v>45</v>
      </c>
      <c r="I21">
        <f>VAR(C2:C21)</f>
        <v>207.29210526315805</v>
      </c>
      <c r="J21">
        <f>STDEV(C2:C21)</f>
        <v>14.397642350855852</v>
      </c>
      <c r="K21">
        <f>CORREL(C2:C21,D2:D21)</f>
        <v>5.9098106022016932E-4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 Krishna</cp:lastModifiedBy>
  <dcterms:created xsi:type="dcterms:W3CDTF">2026-05-27T01:38:11Z</dcterms:created>
  <dcterms:modified xsi:type="dcterms:W3CDTF">2026-05-27T02:54:53Z</dcterms:modified>
</cp:coreProperties>
</file>