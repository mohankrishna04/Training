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66E9878C-E018-44C0-9479-EDFEF823F0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<sst xmlns="http://schemas.openxmlformats.org/spreadsheetml/2006/main" count="77" uniqueCount="63">
  <si>
    <t>Student_ID</t>
  </si>
  <si>
    <t>Student_Name</t>
  </si>
  <si>
    <t>Marks</t>
  </si>
  <si>
    <t>Study_Hours_Per_Day</t>
  </si>
  <si>
    <t>MEAN</t>
  </si>
  <si>
    <t>MEDIAN</t>
  </si>
  <si>
    <t>MODE</t>
  </si>
  <si>
    <t>RANGE</t>
  </si>
  <si>
    <t>VARIANCE</t>
  </si>
  <si>
    <t>Standard Deviation</t>
  </si>
  <si>
    <t>CORRELATION</t>
  </si>
  <si>
    <t>Kiran</t>
  </si>
  <si>
    <t>Priya</t>
  </si>
  <si>
    <t>Vikram</t>
  </si>
  <si>
    <t>Nikhil</t>
  </si>
  <si>
    <t>Ananya</t>
  </si>
  <si>
    <t>Sneha</t>
  </si>
  <si>
    <t>Rahul</t>
  </si>
  <si>
    <t>Divya</t>
  </si>
  <si>
    <t>Arjun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</si>
  <si>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</si>
  <si>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</si>
  <si>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</si>
  <si>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</si>
  <si>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</si>
  <si>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</si>
  <si>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</si>
  <si>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</si>
  <si>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</si>
  <si>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</si>
  <si>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</si>
  <si>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</si>
  <si>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</si>
  <si>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</si>
  <si>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</si>
  <si>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</si>
  <si>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</si>
  <si>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</si>
  <si>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</si>
  <si>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</si>
  <si>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</si>
  <si>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</si>
  <si>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</si>
  <si>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</si>
  <si>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</si>
  <si>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</si>
  <si>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</si>
  <si>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</si>
  <si>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</si>
  <si>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</si>
  <si>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</si>
  <si>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</si>
  <si>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</si>
  <si>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</si>
  <si>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</si>
  <si>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</si>
  <si>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</si>
  <si>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</si>
  <si>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</si>
  <si>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</si>
  <si>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71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</si>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</sst>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7.2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Sheet!$D$3:$D$21</c:f>
              <c:numCache>
                <c:formatCode>General</c:formatCode>
                <c:ptCount val="19"/>
                <c:pt idx="0">
                  <c:v>8</c:v>
                </c:pt>
                <c:pt idx="1">
                  <c:v>2.2000000000000002</c:v>
                </c:pt>
                <c:pt idx="2">
                  <c:v>5.8</c:v>
                </c:pt>
                <c:pt idx="3">
                  <c:v>7.1</c:v>
                </c:pt>
                <c:pt idx="4">
                  <c:v>4.7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1.8</c:v>
                </c:pt>
                <c:pt idx="8">
                  <c:v>7</c:v>
                </c:pt>
                <c:pt idx="9">
                  <c:v>2.9</c:v>
                </c:pt>
                <c:pt idx="10">
                  <c:v>5.4</c:v>
                </c:pt>
                <c:pt idx="11">
                  <c:v>7.1</c:v>
                </c:pt>
                <c:pt idx="12">
                  <c:v>2.5</c:v>
                </c:pt>
                <c:pt idx="13">
                  <c:v>4.4000000000000004</c:v>
                </c:pt>
                <c:pt idx="14">
                  <c:v>4.9000000000000004</c:v>
                </c:pt>
                <c:pt idx="15">
                  <c:v>8</c:v>
                </c:pt>
                <c:pt idx="16">
                  <c:v>2.4</c:v>
                </c:pt>
                <c:pt idx="17">
                  <c:v>1.4</c:v>
                </c:pt>
                <c:pt idx="18">
                  <c:v>1.4</c:v>
                </c:pt>
              </c:numCache>
            </c:numRef>
          </c:xVal>
          <c:yVal>
            <c:numRef>
              <c:f>Sheet2!$C$25:$C$43</c:f>
              <c:numCache>
                <c:formatCode>General</c:formatCode>
                <c:ptCount val="19"/>
                <c:pt idx="0">
                  <c:v>18.59380040676065</c:v>
                </c:pt>
                <c:pt idx="1">
                  <c:v>1.0659700306239444</c:v>
                </c:pt>
                <c:pt idx="2">
                  <c:v>-18.882273184187753</c:v>
                </c:pt>
                <c:pt idx="3">
                  <c:v>6.5808612104635813</c:v>
                </c:pt>
                <c:pt idx="4">
                  <c:v>1.879690020338046</c:v>
                </c:pt>
                <c:pt idx="5">
                  <c:v>23.204397222806648</c:v>
                </c:pt>
                <c:pt idx="6">
                  <c:v>6.1047876195151645</c:v>
                </c:pt>
                <c:pt idx="7">
                  <c:v>14.615774832269679</c:v>
                </c:pt>
                <c:pt idx="8">
                  <c:v>-8.531687589124985</c:v>
                </c:pt>
                <c:pt idx="9">
                  <c:v>12.85381162774388</c:v>
                </c:pt>
                <c:pt idx="10">
                  <c:v>7.6675316174579962</c:v>
                </c:pt>
                <c:pt idx="11">
                  <c:v>11.580861210463581</c:v>
                </c:pt>
                <c:pt idx="12">
                  <c:v>18.403616429389629</c:v>
                </c:pt>
                <c:pt idx="13">
                  <c:v>-23.457956378427653</c:v>
                </c:pt>
                <c:pt idx="14">
                  <c:v>-24.895212380484836</c:v>
                </c:pt>
                <c:pt idx="15">
                  <c:v>-16.40619959323935</c:v>
                </c:pt>
                <c:pt idx="16">
                  <c:v>3.2910676298010628</c:v>
                </c:pt>
                <c:pt idx="17">
                  <c:v>-26.834420366084572</c:v>
                </c:pt>
                <c:pt idx="18">
                  <c:v>-6.8344203660845722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FC-4BA9-9D24-4F09EF7A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997616"/>
        <c:axId val="1447007696"/>
      </c:scatterChart>
      <c:valAx>
        <c:axId val="144699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7.2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7007696"/>
        <c:crosses val="autoZero"/>
        <c:crossBetween val="midCat"/>
      </c:valAx>
      <c:valAx>
        <c:axId val="1447007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69976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7.2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Sheet!$D$3:$D$21</c:f>
              <c:numCache>
                <c:formatCode>General</c:formatCode>
                <c:ptCount val="19"/>
                <c:pt idx="0">
                  <c:v>8</c:v>
                </c:pt>
                <c:pt idx="1">
                  <c:v>2.2000000000000002</c:v>
                </c:pt>
                <c:pt idx="2">
                  <c:v>5.8</c:v>
                </c:pt>
                <c:pt idx="3">
                  <c:v>7.1</c:v>
                </c:pt>
                <c:pt idx="4">
                  <c:v>4.7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1.8</c:v>
                </c:pt>
                <c:pt idx="8">
                  <c:v>7</c:v>
                </c:pt>
                <c:pt idx="9">
                  <c:v>2.9</c:v>
                </c:pt>
                <c:pt idx="10">
                  <c:v>5.4</c:v>
                </c:pt>
                <c:pt idx="11">
                  <c:v>7.1</c:v>
                </c:pt>
                <c:pt idx="12">
                  <c:v>2.5</c:v>
                </c:pt>
                <c:pt idx="13">
                  <c:v>4.4000000000000004</c:v>
                </c:pt>
                <c:pt idx="14">
                  <c:v>4.9000000000000004</c:v>
                </c:pt>
                <c:pt idx="15">
                  <c:v>8</c:v>
                </c:pt>
                <c:pt idx="16">
                  <c:v>2.4</c:v>
                </c:pt>
                <c:pt idx="17">
                  <c:v>1.4</c:v>
                </c:pt>
                <c:pt idx="18">
                  <c:v>1.4</c:v>
                </c:pt>
              </c:numCache>
            </c:numRef>
          </c:xVal>
          <c:yVal>
            <c:numRef>
              <c:f>Sheet!$C$3:$C$21</c:f>
              <c:numCache>
                <c:formatCode>General</c:formatCode>
                <c:ptCount val="19"/>
                <c:pt idx="0">
                  <c:v>91</c:v>
                </c:pt>
                <c:pt idx="1">
                  <c:v>80</c:v>
                </c:pt>
                <c:pt idx="2">
                  <c:v>56</c:v>
                </c:pt>
                <c:pt idx="3">
                  <c:v>80</c:v>
                </c:pt>
                <c:pt idx="4">
                  <c:v>78</c:v>
                </c:pt>
                <c:pt idx="5">
                  <c:v>100</c:v>
                </c:pt>
                <c:pt idx="6">
                  <c:v>82</c:v>
                </c:pt>
                <c:pt idx="7">
                  <c:v>94</c:v>
                </c:pt>
                <c:pt idx="8">
                  <c:v>65</c:v>
                </c:pt>
                <c:pt idx="9">
                  <c:v>91</c:v>
                </c:pt>
                <c:pt idx="10">
                  <c:v>83</c:v>
                </c:pt>
                <c:pt idx="11">
                  <c:v>85</c:v>
                </c:pt>
                <c:pt idx="12">
                  <c:v>97</c:v>
                </c:pt>
                <c:pt idx="13">
                  <c:v>53</c:v>
                </c:pt>
                <c:pt idx="14">
                  <c:v>51</c:v>
                </c:pt>
                <c:pt idx="15">
                  <c:v>56</c:v>
                </c:pt>
                <c:pt idx="16">
                  <c:v>82</c:v>
                </c:pt>
                <c:pt idx="17">
                  <c:v>53</c:v>
                </c:pt>
                <c:pt idx="18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88-49C8-B621-69503C4BFAA1}"/>
            </c:ext>
          </c:extLst>
        </c:ser>
        <c:ser>
          <c:idx val="1"/>
          <c:order val="1"/>
          <c:tx>
            <c:v>Predicted 71</c:v>
          </c:tx>
          <c:spPr>
            <a:ln w="28575">
              <a:noFill/>
            </a:ln>
          </c:spPr>
          <c:xVal>
            <c:numRef>
              <c:f>Sheet!$D$3:$D$21</c:f>
              <c:numCache>
                <c:formatCode>General</c:formatCode>
                <c:ptCount val="19"/>
                <c:pt idx="0">
                  <c:v>8</c:v>
                </c:pt>
                <c:pt idx="1">
                  <c:v>2.2000000000000002</c:v>
                </c:pt>
                <c:pt idx="2">
                  <c:v>5.8</c:v>
                </c:pt>
                <c:pt idx="3">
                  <c:v>7.1</c:v>
                </c:pt>
                <c:pt idx="4">
                  <c:v>4.7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1.8</c:v>
                </c:pt>
                <c:pt idx="8">
                  <c:v>7</c:v>
                </c:pt>
                <c:pt idx="9">
                  <c:v>2.9</c:v>
                </c:pt>
                <c:pt idx="10">
                  <c:v>5.4</c:v>
                </c:pt>
                <c:pt idx="11">
                  <c:v>7.1</c:v>
                </c:pt>
                <c:pt idx="12">
                  <c:v>2.5</c:v>
                </c:pt>
                <c:pt idx="13">
                  <c:v>4.4000000000000004</c:v>
                </c:pt>
                <c:pt idx="14">
                  <c:v>4.9000000000000004</c:v>
                </c:pt>
                <c:pt idx="15">
                  <c:v>8</c:v>
                </c:pt>
                <c:pt idx="16">
                  <c:v>2.4</c:v>
                </c:pt>
                <c:pt idx="17">
                  <c:v>1.4</c:v>
                </c:pt>
                <c:pt idx="18">
                  <c:v>1.4</c:v>
                </c:pt>
              </c:numCache>
            </c:numRef>
          </c:xVal>
          <c:yVal>
            <c:numRef>
              <c:f>Sheet2!$B$25:$B$43</c:f>
              <c:numCache>
                <c:formatCode>General</c:formatCode>
                <c:ptCount val="19"/>
                <c:pt idx="0">
                  <c:v>72.40619959323935</c:v>
                </c:pt>
                <c:pt idx="1">
                  <c:v>78.934029969376056</c:v>
                </c:pt>
                <c:pt idx="2">
                  <c:v>74.882273184187753</c:v>
                </c:pt>
                <c:pt idx="3">
                  <c:v>73.419138789536419</c:v>
                </c:pt>
                <c:pt idx="4">
                  <c:v>76.120309979661954</c:v>
                </c:pt>
                <c:pt idx="5">
                  <c:v>76.795602777193352</c:v>
                </c:pt>
                <c:pt idx="6">
                  <c:v>75.895212380484836</c:v>
                </c:pt>
                <c:pt idx="7">
                  <c:v>79.384225167730321</c:v>
                </c:pt>
                <c:pt idx="8">
                  <c:v>73.531687589124985</c:v>
                </c:pt>
                <c:pt idx="9">
                  <c:v>78.14618837225612</c:v>
                </c:pt>
                <c:pt idx="10">
                  <c:v>75.332468382542004</c:v>
                </c:pt>
                <c:pt idx="11">
                  <c:v>73.419138789536419</c:v>
                </c:pt>
                <c:pt idx="12">
                  <c:v>78.596383570610371</c:v>
                </c:pt>
                <c:pt idx="13">
                  <c:v>76.457956378427653</c:v>
                </c:pt>
                <c:pt idx="14">
                  <c:v>75.895212380484836</c:v>
                </c:pt>
                <c:pt idx="15">
                  <c:v>72.40619959323935</c:v>
                </c:pt>
                <c:pt idx="16">
                  <c:v>78.708932370198937</c:v>
                </c:pt>
                <c:pt idx="17">
                  <c:v>79.834420366084572</c:v>
                </c:pt>
                <c:pt idx="18">
                  <c:v>79.834420366084572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88-49C8-B621-69503C4BF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996176"/>
        <c:axId val="1447000976"/>
      </c:scatterChart>
      <c:valAx>
        <c:axId val="144699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7.2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7000976"/>
        <c:crosses val="autoZero"/>
        <c:crossBetween val="midCat"/>
      </c:valAx>
      <c:valAx>
        <c:axId val="144700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71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6996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Sheet!$C$2:$C$21</c:f>
              <c:numCache>
                <c:formatCode>General</c:formatCode>
                <c:ptCount val="20"/>
                <c:pt idx="0">
                  <c:v>71</c:v>
                </c:pt>
                <c:pt idx="1">
                  <c:v>91</c:v>
                </c:pt>
                <c:pt idx="2">
                  <c:v>80</c:v>
                </c:pt>
                <c:pt idx="3">
                  <c:v>56</c:v>
                </c:pt>
                <c:pt idx="4">
                  <c:v>80</c:v>
                </c:pt>
                <c:pt idx="5">
                  <c:v>78</c:v>
                </c:pt>
                <c:pt idx="6">
                  <c:v>100</c:v>
                </c:pt>
                <c:pt idx="7">
                  <c:v>82</c:v>
                </c:pt>
                <c:pt idx="8">
                  <c:v>94</c:v>
                </c:pt>
                <c:pt idx="9">
                  <c:v>65</c:v>
                </c:pt>
                <c:pt idx="10">
                  <c:v>91</c:v>
                </c:pt>
                <c:pt idx="11">
                  <c:v>83</c:v>
                </c:pt>
                <c:pt idx="12">
                  <c:v>85</c:v>
                </c:pt>
                <c:pt idx="13">
                  <c:v>97</c:v>
                </c:pt>
                <c:pt idx="14">
                  <c:v>53</c:v>
                </c:pt>
                <c:pt idx="15">
                  <c:v>51</c:v>
                </c:pt>
                <c:pt idx="16">
                  <c:v>56</c:v>
                </c:pt>
                <c:pt idx="17">
                  <c:v>82</c:v>
                </c:pt>
                <c:pt idx="18">
                  <c:v>53</c:v>
                </c:pt>
                <c:pt idx="1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DA3-89AF-25084C028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7239840"/>
        <c:axId val="1327236000"/>
        <c:axId val="0"/>
      </c:bar3DChart>
      <c:catAx>
        <c:axId val="132723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36000"/>
        <c:crosses val="autoZero"/>
        <c:auto val="1"/>
        <c:lblAlgn val="ctr"/>
        <c:lblOffset val="100"/>
        <c:noMultiLvlLbl val="0"/>
      </c:catAx>
      <c:valAx>
        <c:axId val="13272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23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Sheet!$D$1</c:f>
              <c:strCache>
                <c:ptCount val="1"/>
                <c:pt idx="0">
                  <c:v>Study_Hours_Per_Day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Sheet!$D$2:$D$21</c:f>
              <c:numCache>
                <c:formatCode>General</c:formatCode>
                <c:ptCount val="20"/>
                <c:pt idx="0">
                  <c:v>7.2</c:v>
                </c:pt>
                <c:pt idx="1">
                  <c:v>8</c:v>
                </c:pt>
                <c:pt idx="2">
                  <c:v>2.2000000000000002</c:v>
                </c:pt>
                <c:pt idx="3">
                  <c:v>5.8</c:v>
                </c:pt>
                <c:pt idx="4">
                  <c:v>7.1</c:v>
                </c:pt>
                <c:pt idx="5">
                  <c:v>4.7</c:v>
                </c:pt>
                <c:pt idx="6">
                  <c:v>4.0999999999999996</c:v>
                </c:pt>
                <c:pt idx="7">
                  <c:v>4.9000000000000004</c:v>
                </c:pt>
                <c:pt idx="8">
                  <c:v>1.8</c:v>
                </c:pt>
                <c:pt idx="9">
                  <c:v>7</c:v>
                </c:pt>
                <c:pt idx="10">
                  <c:v>2.9</c:v>
                </c:pt>
                <c:pt idx="11">
                  <c:v>5.4</c:v>
                </c:pt>
                <c:pt idx="12">
                  <c:v>7.1</c:v>
                </c:pt>
                <c:pt idx="13">
                  <c:v>2.5</c:v>
                </c:pt>
                <c:pt idx="14">
                  <c:v>4.4000000000000004</c:v>
                </c:pt>
                <c:pt idx="15">
                  <c:v>4.9000000000000004</c:v>
                </c:pt>
                <c:pt idx="16">
                  <c:v>8</c:v>
                </c:pt>
                <c:pt idx="17">
                  <c:v>2.4</c:v>
                </c:pt>
                <c:pt idx="18">
                  <c:v>1.4</c:v>
                </c:pt>
                <c:pt idx="19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E-494A-BF14-95BCF377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A010F-DDBB-0F27-FE54-6AA9778EE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1B6EE4-3D59-0221-3A55-46A871AFC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373380</xdr:colOff>
      <xdr:row>0</xdr:row>
      <xdr:rowOff>0</xdr:rowOff>
    </xdr:from>
    <xdr:to>
      <xdr:col>19</xdr:col>
      <xdr:colOff>68580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023289-F28F-E13E-7FBB-5299F3D5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388620</xdr:colOff>
      <xdr:row>15</xdr:row>
      <xdr:rowOff>34290</xdr:rowOff>
    </xdr:from>
    <xdr:to>
      <xdr:col>19</xdr:col>
      <xdr:colOff>83820</xdr:colOff>
      <xdr:row>30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27DC24-732D-557E-54A2-5D3DBAE7B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0F0C-32A6-4ED0-9DBE-3B715E4CF312}">
  <dimension ref="A1:B18"/>
  <sheetViews>
    <sheetView workbookViewId="0">
      <selection sqref="A1:B18"/>
    </sheetView>
  </sheetViews>
  <sheetFormatPr defaultRowHeight="14.4" x14ac:dyDescent="0.3"/>
  <sheetData>
    <row r="1" spans="1:2" x14ac:dyDescent="0.3">
      <c r="A1" s="4">
        <v>71</v>
      </c>
      <c r="B1" s="4"/>
    </row>
    <row r="2" spans="1:2" x14ac:dyDescent="0.3">
      <c r="A2" s="1"/>
      <c r="B2" s="1"/>
    </row>
    <row r="3" spans="1:2" x14ac:dyDescent="0.3">
      <c r="A3" s="1" t="s">
        <v>20</v>
      </c>
      <c r="B3" s="1">
        <v>76.315789473684205</v>
      </c>
    </row>
    <row r="4" spans="1:2" x14ac:dyDescent="0.3">
      <c r="A4" s="1" t="s">
        <v>21</v>
      </c>
      <c r="B4" s="1">
        <v>3.6834167900197885</v>
      </c>
    </row>
    <row r="5" spans="1:2" x14ac:dyDescent="0.3">
      <c r="A5" s="1" t="s">
        <v>22</v>
      </c>
      <c r="B5" s="1">
        <v>80</v>
      </c>
    </row>
    <row r="6" spans="1:2" x14ac:dyDescent="0.3">
      <c r="A6" s="1" t="s">
        <v>23</v>
      </c>
      <c r="B6" s="1">
        <v>91</v>
      </c>
    </row>
    <row r="7" spans="1:2" x14ac:dyDescent="0.3">
      <c r="A7" s="1" t="s">
        <v>9</v>
      </c>
      <c r="B7" s="1">
        <v>16.055641554637237</v>
      </c>
    </row>
    <row r="8" spans="1:2" x14ac:dyDescent="0.3">
      <c r="A8" s="1" t="s">
        <v>24</v>
      </c>
      <c r="B8" s="1">
        <v>257.78362573099406</v>
      </c>
    </row>
    <row r="9" spans="1:2" x14ac:dyDescent="0.3">
      <c r="A9" s="1" t="s">
        <v>25</v>
      </c>
      <c r="B9" s="1">
        <v>-1.170260649313223</v>
      </c>
    </row>
    <row r="10" spans="1:2" x14ac:dyDescent="0.3">
      <c r="A10" s="1" t="s">
        <v>26</v>
      </c>
      <c r="B10" s="1">
        <v>-0.36614614429904069</v>
      </c>
    </row>
    <row r="11" spans="1:2" x14ac:dyDescent="0.3">
      <c r="A11" s="1" t="s">
        <v>27</v>
      </c>
      <c r="B11" s="1">
        <v>49</v>
      </c>
    </row>
    <row r="12" spans="1:2" x14ac:dyDescent="0.3">
      <c r="A12" s="1" t="s">
        <v>28</v>
      </c>
      <c r="B12" s="1">
        <v>51</v>
      </c>
    </row>
    <row r="13" spans="1:2" x14ac:dyDescent="0.3">
      <c r="A13" s="1" t="s">
        <v>29</v>
      </c>
      <c r="B13" s="1">
        <v>100</v>
      </c>
    </row>
    <row r="14" spans="1:2" x14ac:dyDescent="0.3">
      <c r="A14" s="1" t="s">
        <v>30</v>
      </c>
      <c r="B14" s="1">
        <v>1450</v>
      </c>
    </row>
    <row r="15" spans="1:2" x14ac:dyDescent="0.3">
      <c r="A15" s="1" t="s">
        <v>31</v>
      </c>
      <c r="B15" s="1">
        <v>19</v>
      </c>
    </row>
    <row r="16" spans="1:2" x14ac:dyDescent="0.3">
      <c r="A16" s="1" t="s">
        <v>32</v>
      </c>
      <c r="B16" s="1">
        <v>100</v>
      </c>
    </row>
    <row r="17" spans="1:2" x14ac:dyDescent="0.3">
      <c r="A17" s="1" t="s">
        <v>33</v>
      </c>
      <c r="B17" s="1">
        <v>51</v>
      </c>
    </row>
    <row r="18" spans="1:2" ht="15" thickBot="1" x14ac:dyDescent="0.35">
      <c r="A18" s="2" t="s">
        <v>34</v>
      </c>
      <c r="B18" s="2">
        <v>7.7385715175464682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1537-5375-4CCF-8C8D-5B974BD76634}">
  <dimension ref="A1:I43"/>
  <sheetViews>
    <sheetView tabSelected="1" workbookViewId="0">
      <selection sqref="A1:I43"/>
    </sheetView>
  </sheetViews>
  <sheetFormatPr defaultRowHeight="14.4" x14ac:dyDescent="0.3"/>
  <sheetData>
    <row r="1" spans="1:9" x14ac:dyDescent="0.3">
      <c r="A1" t="s">
        <v>35</v>
      </c>
    </row>
    <row r="2" spans="1:9" ht="15" thickBot="1" x14ac:dyDescent="0.35"/>
    <row r="3" spans="1:9" x14ac:dyDescent="0.3">
      <c r="A3" s="4" t="s">
        <v>36</v>
      </c>
      <c r="B3" s="4"/>
    </row>
    <row r="4" spans="1:9" x14ac:dyDescent="0.3">
      <c r="A4" s="1" t="s">
        <v>37</v>
      </c>
      <c r="B4" s="1">
        <v>0.156796118660602</v>
      </c>
    </row>
    <row r="5" spans="1:9" x14ac:dyDescent="0.3">
      <c r="A5" s="1" t="s">
        <v>38</v>
      </c>
      <c r="B5" s="1">
        <v>2.4585022827029585E-2</v>
      </c>
    </row>
    <row r="6" spans="1:9" x14ac:dyDescent="0.3">
      <c r="A6" s="1" t="s">
        <v>39</v>
      </c>
      <c r="B6" s="1">
        <v>-3.2792328771380441E-2</v>
      </c>
    </row>
    <row r="7" spans="1:9" x14ac:dyDescent="0.3">
      <c r="A7" s="1" t="s">
        <v>21</v>
      </c>
      <c r="B7" s="1">
        <v>16.316769016500889</v>
      </c>
    </row>
    <row r="8" spans="1:9" ht="15" thickBot="1" x14ac:dyDescent="0.35">
      <c r="A8" s="2" t="s">
        <v>40</v>
      </c>
      <c r="B8" s="2">
        <v>19</v>
      </c>
    </row>
    <row r="10" spans="1:9" ht="15" thickBot="1" x14ac:dyDescent="0.35">
      <c r="A10" t="s">
        <v>41</v>
      </c>
    </row>
    <row r="11" spans="1:9" x14ac:dyDescent="0.3">
      <c r="A11" s="3"/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spans="1:9" x14ac:dyDescent="0.3">
      <c r="A12" s="1" t="s">
        <v>42</v>
      </c>
      <c r="B12" s="1">
        <v>1</v>
      </c>
      <c r="C12" s="1">
        <v>114.07709381455697</v>
      </c>
      <c r="D12" s="1">
        <v>114.07709381455697</v>
      </c>
      <c r="E12" s="1">
        <v>0.42847956802019527</v>
      </c>
      <c r="F12" s="1">
        <v>0.5214945062912566</v>
      </c>
    </row>
    <row r="13" spans="1:9" x14ac:dyDescent="0.3">
      <c r="A13" s="1" t="s">
        <v>43</v>
      </c>
      <c r="B13" s="1">
        <v>17</v>
      </c>
      <c r="C13" s="1">
        <v>4526.028169343338</v>
      </c>
      <c r="D13" s="1">
        <v>266.23695113784339</v>
      </c>
      <c r="E13" s="1"/>
      <c r="F13" s="1"/>
    </row>
    <row r="14" spans="1:9" ht="15" thickBot="1" x14ac:dyDescent="0.35">
      <c r="A14" s="2" t="s">
        <v>44</v>
      </c>
      <c r="B14" s="2">
        <v>18</v>
      </c>
      <c r="C14" s="2">
        <v>4640.105263157895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51</v>
      </c>
      <c r="C16" s="3" t="s">
        <v>21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56</v>
      </c>
      <c r="I16" s="3" t="s">
        <v>57</v>
      </c>
    </row>
    <row r="17" spans="1:9" x14ac:dyDescent="0.3">
      <c r="A17" s="1" t="s">
        <v>45</v>
      </c>
      <c r="B17" s="1">
        <v>81.410103560324472</v>
      </c>
      <c r="C17" s="1">
        <v>8.6359830926235652</v>
      </c>
      <c r="D17" s="1">
        <v>9.4268484186659656</v>
      </c>
      <c r="E17" s="1">
        <v>3.6514748885949868E-8</v>
      </c>
      <c r="F17" s="1">
        <v>63.189771901602128</v>
      </c>
      <c r="G17" s="1">
        <v>99.630435219046817</v>
      </c>
      <c r="H17" s="1">
        <v>63.189771901602128</v>
      </c>
      <c r="I17" s="1">
        <v>99.630435219046817</v>
      </c>
    </row>
    <row r="18" spans="1:9" ht="15" thickBot="1" x14ac:dyDescent="0.35">
      <c r="A18" s="2">
        <v>7.2</v>
      </c>
      <c r="B18" s="2">
        <v>-1.125487995885641</v>
      </c>
      <c r="C18" s="2">
        <v>1.7193955902430207</v>
      </c>
      <c r="D18" s="2">
        <v>-0.65458350729314341</v>
      </c>
      <c r="E18" s="2">
        <v>0.52149450629125782</v>
      </c>
      <c r="F18" s="2">
        <v>-4.7530955966382766</v>
      </c>
      <c r="G18" s="2">
        <v>2.5021196048669951</v>
      </c>
      <c r="H18" s="2">
        <v>-4.7530955966382766</v>
      </c>
      <c r="I18" s="2">
        <v>2.5021196048669951</v>
      </c>
    </row>
    <row r="22" spans="1:9" x14ac:dyDescent="0.3">
      <c r="A22" t="s">
        <v>58</v>
      </c>
    </row>
    <row r="23" spans="1:9" ht="15" thickBot="1" x14ac:dyDescent="0.35"/>
    <row r="24" spans="1:9" x14ac:dyDescent="0.3">
      <c r="A24" s="3" t="s">
        <v>59</v>
      </c>
      <c r="B24" s="3" t="s">
        <v>60</v>
      </c>
      <c r="C24" s="3" t="s">
        <v>61</v>
      </c>
      <c r="D24" s="3" t="s">
        <v>62</v>
      </c>
    </row>
    <row r="25" spans="1:9" x14ac:dyDescent="0.3">
      <c r="A25" s="1">
        <v>1</v>
      </c>
      <c r="B25" s="1">
        <v>72.40619959323935</v>
      </c>
      <c r="C25" s="1">
        <v>18.59380040676065</v>
      </c>
      <c r="D25" s="1">
        <v>1.172588933124026</v>
      </c>
    </row>
    <row r="26" spans="1:9" x14ac:dyDescent="0.3">
      <c r="A26" s="1">
        <v>2</v>
      </c>
      <c r="B26" s="1">
        <v>78.934029969376056</v>
      </c>
      <c r="C26" s="1">
        <v>1.0659700306239444</v>
      </c>
      <c r="D26" s="1">
        <v>6.7223732298268626E-2</v>
      </c>
    </row>
    <row r="27" spans="1:9" x14ac:dyDescent="0.3">
      <c r="A27" s="1">
        <v>3</v>
      </c>
      <c r="B27" s="1">
        <v>74.882273184187753</v>
      </c>
      <c r="C27" s="1">
        <v>-18.882273184187753</v>
      </c>
      <c r="D27" s="1">
        <v>-1.1907810175241351</v>
      </c>
    </row>
    <row r="28" spans="1:9" x14ac:dyDescent="0.3">
      <c r="A28" s="1">
        <v>4</v>
      </c>
      <c r="B28" s="1">
        <v>73.419138789536419</v>
      </c>
      <c r="C28" s="1">
        <v>6.5808612104635813</v>
      </c>
      <c r="D28" s="1">
        <v>0.41501171664771813</v>
      </c>
    </row>
    <row r="29" spans="1:9" x14ac:dyDescent="0.3">
      <c r="A29" s="1">
        <v>5</v>
      </c>
      <c r="B29" s="1">
        <v>76.120309979661954</v>
      </c>
      <c r="C29" s="1">
        <v>1.879690020338046</v>
      </c>
      <c r="D29" s="1">
        <v>0.11853971040533826</v>
      </c>
    </row>
    <row r="30" spans="1:9" x14ac:dyDescent="0.3">
      <c r="A30" s="1">
        <v>6</v>
      </c>
      <c r="B30" s="1">
        <v>76.795602777193352</v>
      </c>
      <c r="C30" s="1">
        <v>23.204397222806648</v>
      </c>
      <c r="D30" s="1">
        <v>1.4633490081663869</v>
      </c>
    </row>
    <row r="31" spans="1:9" x14ac:dyDescent="0.3">
      <c r="A31" s="1">
        <v>7</v>
      </c>
      <c r="B31" s="1">
        <v>75.895212380484836</v>
      </c>
      <c r="C31" s="1">
        <v>6.1047876195151645</v>
      </c>
      <c r="D31" s="1">
        <v>0.38498888043959395</v>
      </c>
    </row>
    <row r="32" spans="1:9" x14ac:dyDescent="0.3">
      <c r="A32" s="1">
        <v>8</v>
      </c>
      <c r="B32" s="1">
        <v>79.384225167730321</v>
      </c>
      <c r="C32" s="1">
        <v>14.615774832269679</v>
      </c>
      <c r="D32" s="1">
        <v>0.92172097378869677</v>
      </c>
    </row>
    <row r="33" spans="1:4" x14ac:dyDescent="0.3">
      <c r="A33" s="1">
        <v>9</v>
      </c>
      <c r="B33" s="1">
        <v>73.531687589124985</v>
      </c>
      <c r="C33" s="1">
        <v>-8.531687589124985</v>
      </c>
      <c r="D33" s="1">
        <v>-0.53803753019969369</v>
      </c>
    </row>
    <row r="34" spans="1:4" x14ac:dyDescent="0.3">
      <c r="A34" s="1">
        <v>10</v>
      </c>
      <c r="B34" s="1">
        <v>78.14618837225612</v>
      </c>
      <c r="C34" s="1">
        <v>12.85381162774388</v>
      </c>
      <c r="D34" s="1">
        <v>0.81060552084194559</v>
      </c>
    </row>
    <row r="35" spans="1:4" x14ac:dyDescent="0.3">
      <c r="A35" s="1">
        <v>11</v>
      </c>
      <c r="B35" s="1">
        <v>75.332468382542004</v>
      </c>
      <c r="C35" s="1">
        <v>7.6675316174579962</v>
      </c>
      <c r="D35" s="1">
        <v>0.48354088579657756</v>
      </c>
    </row>
    <row r="36" spans="1:4" x14ac:dyDescent="0.3">
      <c r="A36" s="1">
        <v>12</v>
      </c>
      <c r="B36" s="1">
        <v>73.419138789536419</v>
      </c>
      <c r="C36" s="1">
        <v>11.580861210463581</v>
      </c>
      <c r="D36" s="1">
        <v>0.73032889427475023</v>
      </c>
    </row>
    <row r="37" spans="1:4" x14ac:dyDescent="0.3">
      <c r="A37" s="1">
        <v>13</v>
      </c>
      <c r="B37" s="1">
        <v>78.596383570610371</v>
      </c>
      <c r="C37" s="1">
        <v>18.403616429389629</v>
      </c>
      <c r="D37" s="1">
        <v>1.1605952781291233</v>
      </c>
    </row>
    <row r="38" spans="1:4" x14ac:dyDescent="0.3">
      <c r="A38" s="1">
        <v>14</v>
      </c>
      <c r="B38" s="1">
        <v>76.457956378427653</v>
      </c>
      <c r="C38" s="1">
        <v>-23.457956378427653</v>
      </c>
      <c r="D38" s="1">
        <v>-1.4793393196287687</v>
      </c>
    </row>
    <row r="39" spans="1:4" x14ac:dyDescent="0.3">
      <c r="A39" s="1">
        <v>15</v>
      </c>
      <c r="B39" s="1">
        <v>75.895212380484836</v>
      </c>
      <c r="C39" s="1">
        <v>-24.895212380484836</v>
      </c>
      <c r="D39" s="1">
        <v>-1.5699776208480052</v>
      </c>
    </row>
    <row r="40" spans="1:4" x14ac:dyDescent="0.3">
      <c r="A40" s="1">
        <v>16</v>
      </c>
      <c r="B40" s="1">
        <v>72.40619959323935</v>
      </c>
      <c r="C40" s="1">
        <v>-16.40619959323935</v>
      </c>
      <c r="D40" s="1">
        <v>-1.0346313102651989</v>
      </c>
    </row>
    <row r="41" spans="1:4" x14ac:dyDescent="0.3">
      <c r="A41" s="1">
        <v>17</v>
      </c>
      <c r="B41" s="1">
        <v>78.708932370198937</v>
      </c>
      <c r="C41" s="1">
        <v>3.2910676298010628</v>
      </c>
      <c r="D41" s="1">
        <v>0.20754603128171148</v>
      </c>
    </row>
    <row r="42" spans="1:4" x14ac:dyDescent="0.3">
      <c r="A42" s="1">
        <v>18</v>
      </c>
      <c r="B42" s="1">
        <v>79.834420366084572</v>
      </c>
      <c r="C42" s="1">
        <v>-26.834420366084572</v>
      </c>
      <c r="D42" s="1">
        <v>-1.6922707386182274</v>
      </c>
    </row>
    <row r="43" spans="1:4" ht="15" thickBot="1" x14ac:dyDescent="0.35">
      <c r="A43" s="2">
        <v>19</v>
      </c>
      <c r="B43" s="2">
        <v>79.834420366084572</v>
      </c>
      <c r="C43" s="2">
        <v>-6.8344203660845722</v>
      </c>
      <c r="D43" s="2">
        <v>-0.43100202811009897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D3" sqref="D3:D2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71</v>
      </c>
      <c r="D2">
        <v>7.2</v>
      </c>
      <c r="E2">
        <f>AVERAGE(C2:C21)</f>
        <v>76.05</v>
      </c>
      <c r="F2">
        <f>MEDIAN(C2:C21)</f>
        <v>80</v>
      </c>
      <c r="G2">
        <f>MODE(C2:C21)</f>
        <v>91</v>
      </c>
      <c r="H2">
        <f>MAX(C2:C21)-MIN(C2:C21)</f>
        <v>49</v>
      </c>
      <c r="I2">
        <f>VAR(C2:C21)</f>
        <v>245.62894736842091</v>
      </c>
      <c r="J2">
        <f>STDEV(C2:C21)</f>
        <v>15.672553951683208</v>
      </c>
      <c r="K2">
        <f>CORREL(C2:C21,D2:D21)</f>
        <v>-0.170846823944481</v>
      </c>
    </row>
    <row r="3" spans="1:11" x14ac:dyDescent="0.3">
      <c r="A3">
        <v>2</v>
      </c>
      <c r="B3" t="s">
        <v>12</v>
      </c>
      <c r="C3">
        <v>91</v>
      </c>
      <c r="D3">
        <v>8</v>
      </c>
      <c r="E3">
        <f>AVERAGE(C2:C21)</f>
        <v>76.05</v>
      </c>
      <c r="F3">
        <f>MEDIAN(C2:C21)</f>
        <v>80</v>
      </c>
      <c r="G3">
        <f>MODE(C2:C21)</f>
        <v>91</v>
      </c>
      <c r="H3">
        <f>MAX(C2:C21)-MIN(C2:C21)</f>
        <v>49</v>
      </c>
      <c r="I3">
        <f>VAR(C2:C21)</f>
        <v>245.62894736842091</v>
      </c>
      <c r="J3">
        <f>STDEV(C2:C21)</f>
        <v>15.672553951683208</v>
      </c>
      <c r="K3">
        <f>CORREL(C2:C21,D2:D21)</f>
        <v>-0.170846823944481</v>
      </c>
    </row>
    <row r="4" spans="1:11" x14ac:dyDescent="0.3">
      <c r="A4">
        <v>3</v>
      </c>
      <c r="B4" t="s">
        <v>13</v>
      </c>
      <c r="C4">
        <v>80</v>
      </c>
      <c r="D4">
        <v>2.2000000000000002</v>
      </c>
      <c r="E4">
        <f>AVERAGE(C2:C21)</f>
        <v>76.05</v>
      </c>
      <c r="F4">
        <f>MEDIAN(C2:C21)</f>
        <v>80</v>
      </c>
      <c r="G4">
        <f>MODE(C2:C21)</f>
        <v>91</v>
      </c>
      <c r="H4">
        <f>MAX(C2:C21)-MIN(C2:C21)</f>
        <v>49</v>
      </c>
      <c r="I4">
        <f>VAR(C2:C21)</f>
        <v>245.62894736842091</v>
      </c>
      <c r="J4">
        <f>STDEV(C2:C21)</f>
        <v>15.672553951683208</v>
      </c>
      <c r="K4">
        <f>CORREL(C2:C21,D2:D21)</f>
        <v>-0.170846823944481</v>
      </c>
    </row>
    <row r="5" spans="1:11" x14ac:dyDescent="0.3">
      <c r="A5">
        <v>4</v>
      </c>
      <c r="B5" t="s">
        <v>14</v>
      </c>
      <c r="C5">
        <v>56</v>
      </c>
      <c r="D5">
        <v>5.8</v>
      </c>
      <c r="E5">
        <f>AVERAGE(C2:C21)</f>
        <v>76.05</v>
      </c>
      <c r="F5">
        <f>MEDIAN(C2:C21)</f>
        <v>80</v>
      </c>
      <c r="G5">
        <f>MODE(C2:C21)</f>
        <v>91</v>
      </c>
      <c r="H5">
        <f>MAX(C2:C21)-MIN(C2:C21)</f>
        <v>49</v>
      </c>
      <c r="I5">
        <f>VAR(C2:C21)</f>
        <v>245.62894736842091</v>
      </c>
      <c r="J5">
        <f>STDEV(C2:C21)</f>
        <v>15.672553951683208</v>
      </c>
      <c r="K5">
        <f>CORREL(C2:C21,D2:D21)</f>
        <v>-0.170846823944481</v>
      </c>
    </row>
    <row r="6" spans="1:11" x14ac:dyDescent="0.3">
      <c r="A6">
        <v>5</v>
      </c>
      <c r="B6" t="s">
        <v>15</v>
      </c>
      <c r="C6">
        <v>80</v>
      </c>
      <c r="D6">
        <v>7.1</v>
      </c>
      <c r="E6">
        <f>AVERAGE(C2:C21)</f>
        <v>76.05</v>
      </c>
      <c r="F6">
        <f>MEDIAN(C2:C21)</f>
        <v>80</v>
      </c>
      <c r="G6">
        <f>MODE(C2:C21)</f>
        <v>91</v>
      </c>
      <c r="H6">
        <f>MAX(C2:C21)-MIN(C2:C21)</f>
        <v>49</v>
      </c>
      <c r="I6">
        <f>VAR(C2:C21)</f>
        <v>245.62894736842091</v>
      </c>
      <c r="J6">
        <f>STDEV(C2:C21)</f>
        <v>15.672553951683208</v>
      </c>
      <c r="K6">
        <f>CORREL(C2:C21,D2:D21)</f>
        <v>-0.170846823944481</v>
      </c>
    </row>
    <row r="7" spans="1:11" x14ac:dyDescent="0.3">
      <c r="A7">
        <v>6</v>
      </c>
      <c r="B7" t="s">
        <v>16</v>
      </c>
      <c r="C7">
        <v>78</v>
      </c>
      <c r="D7">
        <v>4.7</v>
      </c>
      <c r="E7">
        <f>AVERAGE(C2:C21)</f>
        <v>76.05</v>
      </c>
      <c r="F7">
        <f>MEDIAN(C2:C21)</f>
        <v>80</v>
      </c>
      <c r="G7">
        <f>MODE(C2:C21)</f>
        <v>91</v>
      </c>
      <c r="H7">
        <f>MAX(C2:C21)-MIN(C2:C21)</f>
        <v>49</v>
      </c>
      <c r="I7">
        <f>VAR(C2:C21)</f>
        <v>245.62894736842091</v>
      </c>
      <c r="J7">
        <f>STDEV(C2:C21)</f>
        <v>15.672553951683208</v>
      </c>
      <c r="K7">
        <f>CORREL(C2:C21,D2:D21)</f>
        <v>-0.170846823944481</v>
      </c>
    </row>
    <row r="8" spans="1:11" x14ac:dyDescent="0.3">
      <c r="A8">
        <v>7</v>
      </c>
      <c r="B8" t="s">
        <v>12</v>
      </c>
      <c r="C8">
        <v>100</v>
      </c>
      <c r="D8">
        <v>4.0999999999999996</v>
      </c>
      <c r="E8">
        <f>AVERAGE(C2:C21)</f>
        <v>76.05</v>
      </c>
      <c r="F8">
        <f>MEDIAN(C2:C21)</f>
        <v>80</v>
      </c>
      <c r="G8">
        <f>MODE(C2:C21)</f>
        <v>91</v>
      </c>
      <c r="H8">
        <f>MAX(C2:C21)-MIN(C2:C21)</f>
        <v>49</v>
      </c>
      <c r="I8">
        <f>VAR(C2:C21)</f>
        <v>245.62894736842091</v>
      </c>
      <c r="J8">
        <f>STDEV(C2:C21)</f>
        <v>15.672553951683208</v>
      </c>
      <c r="K8">
        <f>CORREL(C2:C21,D2:D21)</f>
        <v>-0.170846823944481</v>
      </c>
    </row>
    <row r="9" spans="1:11" x14ac:dyDescent="0.3">
      <c r="A9">
        <v>8</v>
      </c>
      <c r="B9" t="s">
        <v>17</v>
      </c>
      <c r="C9">
        <v>82</v>
      </c>
      <c r="D9">
        <v>4.9000000000000004</v>
      </c>
      <c r="E9">
        <f>AVERAGE(C2:C21)</f>
        <v>76.05</v>
      </c>
      <c r="F9">
        <f>MEDIAN(C2:C21)</f>
        <v>80</v>
      </c>
      <c r="G9">
        <f>MODE(C2:C21)</f>
        <v>91</v>
      </c>
      <c r="H9">
        <f>MAX(C2:C21)-MIN(C2:C21)</f>
        <v>49</v>
      </c>
      <c r="I9">
        <f>VAR(C2:C21)</f>
        <v>245.62894736842091</v>
      </c>
      <c r="J9">
        <f>STDEV(C2:C21)</f>
        <v>15.672553951683208</v>
      </c>
      <c r="K9">
        <f>CORREL(C2:C21,D2:D21)</f>
        <v>-0.170846823944481</v>
      </c>
    </row>
    <row r="10" spans="1:11" x14ac:dyDescent="0.3">
      <c r="A10">
        <v>9</v>
      </c>
      <c r="B10" t="s">
        <v>16</v>
      </c>
      <c r="C10">
        <v>94</v>
      </c>
      <c r="D10">
        <v>1.8</v>
      </c>
      <c r="E10">
        <f>AVERAGE(C2:C21)</f>
        <v>76.05</v>
      </c>
      <c r="F10">
        <f>MEDIAN(C2:C21)</f>
        <v>80</v>
      </c>
      <c r="G10">
        <f>MODE(C2:C21)</f>
        <v>91</v>
      </c>
      <c r="H10">
        <f>MAX(C2:C21)-MIN(C2:C21)</f>
        <v>49</v>
      </c>
      <c r="I10">
        <f>VAR(C2:C21)</f>
        <v>245.62894736842091</v>
      </c>
      <c r="J10">
        <f>STDEV(C2:C21)</f>
        <v>15.672553951683208</v>
      </c>
      <c r="K10">
        <f>CORREL(C2:C21,D2:D21)</f>
        <v>-0.170846823944481</v>
      </c>
    </row>
    <row r="11" spans="1:11" x14ac:dyDescent="0.3">
      <c r="A11">
        <v>10</v>
      </c>
      <c r="B11" t="s">
        <v>11</v>
      </c>
      <c r="C11">
        <v>65</v>
      </c>
      <c r="D11">
        <v>7</v>
      </c>
      <c r="E11">
        <f>AVERAGE(C2:C21)</f>
        <v>76.05</v>
      </c>
      <c r="F11">
        <f>MEDIAN(C2:C21)</f>
        <v>80</v>
      </c>
      <c r="G11">
        <f>MODE(C2:C21)</f>
        <v>91</v>
      </c>
      <c r="H11">
        <f>MAX(C2:C21)-MIN(C2:C21)</f>
        <v>49</v>
      </c>
      <c r="I11">
        <f>VAR(C2:C21)</f>
        <v>245.62894736842091</v>
      </c>
      <c r="J11">
        <f>STDEV(C2:C21)</f>
        <v>15.672553951683208</v>
      </c>
      <c r="K11">
        <f>CORREL(C2:C21,D2:D21)</f>
        <v>-0.170846823944481</v>
      </c>
    </row>
    <row r="12" spans="1:11" x14ac:dyDescent="0.3">
      <c r="A12">
        <v>11</v>
      </c>
      <c r="B12" t="s">
        <v>18</v>
      </c>
      <c r="C12">
        <v>91</v>
      </c>
      <c r="D12">
        <v>2.9</v>
      </c>
      <c r="E12">
        <f>AVERAGE(C2:C21)</f>
        <v>76.05</v>
      </c>
      <c r="F12">
        <f>MEDIAN(C2:C21)</f>
        <v>80</v>
      </c>
      <c r="G12">
        <f>MODE(C2:C21)</f>
        <v>91</v>
      </c>
      <c r="H12">
        <f>MAX(C2:C21)-MIN(C2:C21)</f>
        <v>49</v>
      </c>
      <c r="I12">
        <f>VAR(C2:C21)</f>
        <v>245.62894736842091</v>
      </c>
      <c r="J12">
        <f>STDEV(C2:C21)</f>
        <v>15.672553951683208</v>
      </c>
      <c r="K12">
        <f>CORREL(C2:C21,D2:D21)</f>
        <v>-0.170846823944481</v>
      </c>
    </row>
    <row r="13" spans="1:11" x14ac:dyDescent="0.3">
      <c r="A13">
        <v>12</v>
      </c>
      <c r="B13" t="s">
        <v>15</v>
      </c>
      <c r="C13">
        <v>83</v>
      </c>
      <c r="D13">
        <v>5.4</v>
      </c>
      <c r="E13">
        <f>AVERAGE(C2:C21)</f>
        <v>76.05</v>
      </c>
      <c r="F13">
        <f>MEDIAN(C2:C21)</f>
        <v>80</v>
      </c>
      <c r="G13">
        <f>MODE(C2:C21)</f>
        <v>91</v>
      </c>
      <c r="H13">
        <f>MAX(C2:C21)-MIN(C2:C21)</f>
        <v>49</v>
      </c>
      <c r="I13">
        <f>VAR(C2:C21)</f>
        <v>245.62894736842091</v>
      </c>
      <c r="J13">
        <f>STDEV(C2:C21)</f>
        <v>15.672553951683208</v>
      </c>
      <c r="K13">
        <f>CORREL(C2:C21,D2:D21)</f>
        <v>-0.170846823944481</v>
      </c>
    </row>
    <row r="14" spans="1:11" x14ac:dyDescent="0.3">
      <c r="A14">
        <v>13</v>
      </c>
      <c r="B14" t="s">
        <v>12</v>
      </c>
      <c r="C14">
        <v>85</v>
      </c>
      <c r="D14">
        <v>7.1</v>
      </c>
      <c r="E14">
        <f>AVERAGE(C2:C21)</f>
        <v>76.05</v>
      </c>
      <c r="F14">
        <f>MEDIAN(C2:C21)</f>
        <v>80</v>
      </c>
      <c r="G14">
        <f>MODE(C2:C21)</f>
        <v>91</v>
      </c>
      <c r="H14">
        <f>MAX(C2:C21)-MIN(C2:C21)</f>
        <v>49</v>
      </c>
      <c r="I14">
        <f>VAR(C2:C21)</f>
        <v>245.62894736842091</v>
      </c>
      <c r="J14">
        <f>STDEV(C2:C21)</f>
        <v>15.672553951683208</v>
      </c>
      <c r="K14">
        <f>CORREL(C2:C21,D2:D21)</f>
        <v>-0.170846823944481</v>
      </c>
    </row>
    <row r="15" spans="1:11" x14ac:dyDescent="0.3">
      <c r="A15">
        <v>14</v>
      </c>
      <c r="B15" t="s">
        <v>19</v>
      </c>
      <c r="C15">
        <v>97</v>
      </c>
      <c r="D15">
        <v>2.5</v>
      </c>
      <c r="E15">
        <f>AVERAGE(C2:C21)</f>
        <v>76.05</v>
      </c>
      <c r="F15">
        <f>MEDIAN(C2:C21)</f>
        <v>80</v>
      </c>
      <c r="G15">
        <f>MODE(C2:C21)</f>
        <v>91</v>
      </c>
      <c r="H15">
        <f>MAX(C2:C21)-MIN(C2:C21)</f>
        <v>49</v>
      </c>
      <c r="I15">
        <f>VAR(C2:C21)</f>
        <v>245.62894736842091</v>
      </c>
      <c r="J15">
        <f>STDEV(C2:C21)</f>
        <v>15.672553951683208</v>
      </c>
      <c r="K15">
        <f>CORREL(C2:C21,D2:D21)</f>
        <v>-0.170846823944481</v>
      </c>
    </row>
    <row r="16" spans="1:11" x14ac:dyDescent="0.3">
      <c r="A16">
        <v>15</v>
      </c>
      <c r="B16" t="s">
        <v>18</v>
      </c>
      <c r="C16">
        <v>53</v>
      </c>
      <c r="D16">
        <v>4.4000000000000004</v>
      </c>
      <c r="E16">
        <f>AVERAGE(C2:C21)</f>
        <v>76.05</v>
      </c>
      <c r="F16">
        <f>MEDIAN(C2:C21)</f>
        <v>80</v>
      </c>
      <c r="G16">
        <f>MODE(C2:C21)</f>
        <v>91</v>
      </c>
      <c r="H16">
        <f>MAX(C2:C21)-MIN(C2:C21)</f>
        <v>49</v>
      </c>
      <c r="I16">
        <f>VAR(C2:C21)</f>
        <v>245.62894736842091</v>
      </c>
      <c r="J16">
        <f>STDEV(C2:C21)</f>
        <v>15.672553951683208</v>
      </c>
      <c r="K16">
        <f>CORREL(C2:C21,D2:D21)</f>
        <v>-0.170846823944481</v>
      </c>
    </row>
    <row r="17" spans="1:11" x14ac:dyDescent="0.3">
      <c r="A17">
        <v>16</v>
      </c>
      <c r="B17" t="s">
        <v>16</v>
      </c>
      <c r="C17">
        <v>51</v>
      </c>
      <c r="D17">
        <v>4.9000000000000004</v>
      </c>
      <c r="E17">
        <f>AVERAGE(C2:C21)</f>
        <v>76.05</v>
      </c>
      <c r="F17">
        <f>MEDIAN(C2:C21)</f>
        <v>80</v>
      </c>
      <c r="G17">
        <f>MODE(C2:C21)</f>
        <v>91</v>
      </c>
      <c r="H17">
        <f>MAX(C2:C21)-MIN(C2:C21)</f>
        <v>49</v>
      </c>
      <c r="I17">
        <f>VAR(C2:C21)</f>
        <v>245.62894736842091</v>
      </c>
      <c r="J17">
        <f>STDEV(C2:C21)</f>
        <v>15.672553951683208</v>
      </c>
      <c r="K17">
        <f>CORREL(C2:C21,D2:D21)</f>
        <v>-0.170846823944481</v>
      </c>
    </row>
    <row r="18" spans="1:11" x14ac:dyDescent="0.3">
      <c r="A18">
        <v>17</v>
      </c>
      <c r="B18" t="s">
        <v>13</v>
      </c>
      <c r="C18">
        <v>56</v>
      </c>
      <c r="D18">
        <v>8</v>
      </c>
      <c r="E18">
        <f>AVERAGE(C2:C21)</f>
        <v>76.05</v>
      </c>
      <c r="F18">
        <f>MEDIAN(C2:C21)</f>
        <v>80</v>
      </c>
      <c r="G18">
        <f>MODE(C2:C21)</f>
        <v>91</v>
      </c>
      <c r="H18">
        <f>MAX(C2:C21)-MIN(C2:C21)</f>
        <v>49</v>
      </c>
      <c r="I18">
        <f>VAR(C2:C21)</f>
        <v>245.62894736842091</v>
      </c>
      <c r="J18">
        <f>STDEV(C2:C21)</f>
        <v>15.672553951683208</v>
      </c>
      <c r="K18">
        <f>CORREL(C2:C21,D2:D21)</f>
        <v>-0.170846823944481</v>
      </c>
    </row>
    <row r="19" spans="1:11" x14ac:dyDescent="0.3">
      <c r="A19">
        <v>18</v>
      </c>
      <c r="B19" t="s">
        <v>13</v>
      </c>
      <c r="C19">
        <v>82</v>
      </c>
      <c r="D19">
        <v>2.4</v>
      </c>
      <c r="E19">
        <f>AVERAGE(C2:C21)</f>
        <v>76.05</v>
      </c>
      <c r="F19">
        <f>MEDIAN(C2:C21)</f>
        <v>80</v>
      </c>
      <c r="G19">
        <f>MODE(C2:C21)</f>
        <v>91</v>
      </c>
      <c r="H19">
        <f>MAX(C2:C21)-MIN(C2:C21)</f>
        <v>49</v>
      </c>
      <c r="I19">
        <f>VAR(C2:C21)</f>
        <v>245.62894736842091</v>
      </c>
      <c r="J19">
        <f>STDEV(C2:C21)</f>
        <v>15.672553951683208</v>
      </c>
      <c r="K19">
        <f>CORREL(C2:C21,D2:D21)</f>
        <v>-0.170846823944481</v>
      </c>
    </row>
    <row r="20" spans="1:11" x14ac:dyDescent="0.3">
      <c r="A20">
        <v>19</v>
      </c>
      <c r="B20" t="s">
        <v>11</v>
      </c>
      <c r="C20">
        <v>53</v>
      </c>
      <c r="D20">
        <v>1.4</v>
      </c>
      <c r="E20">
        <f>AVERAGE(C2:C21)</f>
        <v>76.05</v>
      </c>
      <c r="F20">
        <f>MEDIAN(C2:C21)</f>
        <v>80</v>
      </c>
      <c r="G20">
        <f>MODE(C2:C21)</f>
        <v>91</v>
      </c>
      <c r="H20">
        <f>MAX(C2:C21)-MIN(C2:C21)</f>
        <v>49</v>
      </c>
      <c r="I20">
        <f>VAR(C2:C21)</f>
        <v>245.62894736842091</v>
      </c>
      <c r="J20">
        <f>STDEV(C2:C21)</f>
        <v>15.672553951683208</v>
      </c>
      <c r="K20">
        <f>CORREL(C2:C21,D2:D21)</f>
        <v>-0.170846823944481</v>
      </c>
    </row>
    <row r="21" spans="1:11" x14ac:dyDescent="0.3">
      <c r="A21">
        <v>20</v>
      </c>
      <c r="B21" t="s">
        <v>19</v>
      </c>
      <c r="C21">
        <v>73</v>
      </c>
      <c r="D21">
        <v>1.4</v>
      </c>
      <c r="E21">
        <f>AVERAGE(C2:C21)</f>
        <v>76.05</v>
      </c>
      <c r="F21">
        <f>MEDIAN(C2:C21)</f>
        <v>80</v>
      </c>
      <c r="G21">
        <f>MODE(C2:C21)</f>
        <v>91</v>
      </c>
      <c r="H21">
        <f>MAX(C2:C21)-MIN(C2:C21)</f>
        <v>49</v>
      </c>
      <c r="I21">
        <f>VAR(C2:C21)</f>
        <v>245.62894736842091</v>
      </c>
      <c r="J21">
        <f>STDEV(C2:C21)</f>
        <v>15.672553951683208</v>
      </c>
      <c r="K21">
        <f>CORREL(C2:C21,D2:D21)</f>
        <v>-0.170846823944481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Krishna</cp:lastModifiedBy>
  <dcterms:created xsi:type="dcterms:W3CDTF">2026-05-27T01:38:11Z</dcterms:created>
  <dcterms:modified xsi:type="dcterms:W3CDTF">2026-05-27T03:04:01Z</dcterms:modified>
</cp:coreProperties>
</file>